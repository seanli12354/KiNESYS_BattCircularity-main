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updateLinks="never"/>
  <bookViews>
    <workbookView windowWidth="18350" windowHeight="8710" firstSheet="9" activeTab="12"/>
  </bookViews>
  <sheets>
    <sheet name="temp elec alignment" sheetId="17" r:id="rId1"/>
    <sheet name="INS" sheetId="2" r:id="rId2"/>
    <sheet name="HH2" sheetId="32" r:id="rId3"/>
    <sheet name="Transport" sheetId="33" r:id="rId4"/>
    <sheet name="pg techs" sheetId="31" r:id="rId5"/>
    <sheet name="Trade costs" sheetId="13" r:id="rId6"/>
    <sheet name="Cap decay limits" sheetId="24" r:id="rId7"/>
    <sheet name="demelast and reporting" sheetId="14" r:id="rId8"/>
    <sheet name="Thermal elec utilization" sheetId="8" r:id="rId9"/>
    <sheet name="Thermal elec op costs" sheetId="18" r:id="rId10"/>
    <sheet name="emissions" sheetId="11" r:id="rId11"/>
    <sheet name="CO2 transp and sto" sheetId="15" r:id="rId12"/>
    <sheet name="car batteries" sheetId="21" r:id="rId1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BaseYear">2018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Maurizio Gargiulo</author>
    <author>Gary Goldstein</author>
    <author>AMIT</author>
    <author>Amit Kanudia</author>
  </authors>
  <commentList>
    <comment ref="B2" authorId="0">
      <text>
        <r>
          <rPr>
            <b/>
            <sz val="8"/>
            <rFont val="Tahoma"/>
            <charset val="134"/>
          </rPr>
          <t>Insert Table</t>
        </r>
      </text>
    </comment>
    <comment ref="I2" authorId="1">
      <text>
        <r>
          <rPr>
            <sz val="8"/>
            <rFont val="Tahoma"/>
            <charset val="134"/>
          </rPr>
          <t>Define the qualifiers based upon technology set + topology + name + descriptions, according to both include and exclude specifications.</t>
        </r>
      </text>
    </comment>
    <comment ref="N2" authorId="1">
      <text>
        <r>
          <rPr>
            <sz val="8"/>
            <rFont val="Tahoma"/>
            <charset val="134"/>
          </rPr>
          <t>Define the qualifiers based upon commodity set + name + descriptions, according to both include and exclude specifications.</t>
        </r>
      </text>
    </comment>
    <comment ref="U5" authorId="2">
      <text>
        <r>
          <rPr>
            <b/>
            <sz val="9"/>
            <rFont val="Tahoma"/>
            <charset val="134"/>
          </rPr>
          <t>AMIT:</t>
        </r>
        <r>
          <rPr>
            <sz val="9"/>
            <rFont val="Tahoma"/>
            <charset val="134"/>
          </rPr>
          <t xml:space="preserve">
12-03-2022
Geothermal has been introduced only to respect RE targets
</t>
        </r>
      </text>
    </comment>
    <comment ref="D10" authorId="3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12-11-2021
These should be a part of optimistic H2 scenario
</t>
        </r>
      </text>
    </comment>
    <comment ref="D11" authorId="3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13-11-2021
doesn't make sense
</t>
        </r>
      </text>
    </comment>
    <comment ref="H16" authorId="3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23-07-2021
based on a recent 1.2mbpd refinery - $60b
</t>
        </r>
      </text>
    </comment>
    <comment ref="D23" authorId="3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28-03-2022
these processes are included only for calibration purpose</t>
        </r>
      </text>
    </comment>
    <comment ref="D35" authorId="3">
      <text>
        <r>
          <rPr>
            <b/>
            <sz val="9"/>
            <rFont val="Tahoma"/>
            <charset val="1"/>
          </rPr>
          <t>Amit Kanudia:</t>
        </r>
        <r>
          <rPr>
            <sz val="9"/>
            <rFont val="Tahoma"/>
            <charset val="1"/>
          </rPr>
          <t xml:space="preserve">
27-09-2024
</t>
        </r>
      </text>
    </comment>
    <comment ref="D36" authorId="3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15-04-2024
This relaxation affects the oil/gas extraction balance.
</t>
        </r>
      </text>
    </comment>
  </commentList>
</comments>
</file>

<file path=xl/comments2.xml><?xml version="1.0" encoding="utf-8"?>
<comments xmlns="http://schemas.openxmlformats.org/spreadsheetml/2006/main">
  <authors>
    <author>Amit Kanudia</author>
  </authors>
  <commentList>
    <comment ref="B1" authorId="0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28-06-2023
to be copied below
</t>
        </r>
      </text>
    </comment>
    <comment ref="B5" authorId="0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28-06-2023
to be copied below
</t>
        </r>
      </text>
    </comment>
  </commentList>
</comments>
</file>

<file path=xl/comments3.xml><?xml version="1.0" encoding="utf-8"?>
<comments xmlns="http://schemas.openxmlformats.org/spreadsheetml/2006/main">
  <authors>
    <author>Amit Kanudia</author>
    <author>xli9</author>
  </authors>
  <commentList>
    <comment ref="B12" authorId="0">
      <text>
        <r>
          <rPr>
            <b/>
            <sz val="9"/>
            <rFont val="Tahoma"/>
            <charset val="1"/>
          </rPr>
          <t>Amit Kanudia:</t>
        </r>
        <r>
          <rPr>
            <sz val="9"/>
            <rFont val="Tahoma"/>
            <charset val="1"/>
          </rPr>
          <t xml:space="preserve">
20-07-2024
added oil
</t>
        </r>
      </text>
    </comment>
    <comment ref="DJ12" authorId="0">
      <text>
        <r>
          <rPr>
            <b/>
            <sz val="9"/>
            <rFont val="Tahoma"/>
            <charset val="1"/>
          </rPr>
          <t>Amit Kanudia:</t>
        </r>
        <r>
          <rPr>
            <sz val="9"/>
            <rFont val="Tahoma"/>
            <charset val="1"/>
          </rPr>
          <t xml:space="preserve">
24-09-2024
dummies
</t>
        </r>
      </text>
    </comment>
    <comment ref="F20" authorId="0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23-02-2022
OIL included in MAX
</t>
        </r>
      </text>
    </comment>
    <comment ref="E38" authorId="0">
      <text>
        <r>
          <rPr>
            <b/>
            <sz val="9"/>
            <rFont val="Tahoma"/>
            <charset val="1"/>
          </rPr>
          <t>Amit Kanudia:</t>
        </r>
        <r>
          <rPr>
            <sz val="9"/>
            <rFont val="Tahoma"/>
            <charset val="1"/>
          </rPr>
          <t xml:space="preserve">
15-07-2024
Default
</t>
        </r>
      </text>
    </comment>
    <comment ref="B74" authorId="1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These have been defined in other files, to avoild duplicate, we delete it</t>
        </r>
      </text>
    </comment>
  </commentList>
</comments>
</file>

<file path=xl/comments4.xml><?xml version="1.0" encoding="utf-8"?>
<comments xmlns="http://schemas.openxmlformats.org/spreadsheetml/2006/main">
  <authors>
    <author>xli9</author>
    <author>Amit Kanudia</author>
  </authors>
  <commentList>
    <comment ref="X6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It has already been deducted in NetCO2</t>
        </r>
      </text>
    </comment>
    <comment ref="AD11" authorId="1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23-02-2022
UKTM</t>
        </r>
      </text>
    </comment>
    <comment ref="AC49" authorId="1">
      <text>
        <r>
          <rPr>
            <b/>
            <sz val="9"/>
            <rFont val="Tahoma"/>
            <charset val="1"/>
          </rPr>
          <t>Amit Kanudia:</t>
        </r>
        <r>
          <rPr>
            <sz val="9"/>
            <rFont val="Tahoma"/>
            <charset val="1"/>
          </rPr>
          <t xml:space="preserve">
10-07-2023</t>
        </r>
      </text>
    </comment>
  </commentList>
</comments>
</file>

<file path=xl/comments5.xml><?xml version="1.0" encoding="utf-8"?>
<comments xmlns="http://schemas.openxmlformats.org/spreadsheetml/2006/main">
  <authors>
    <author>xli9</author>
    <author>Amit Kanudia</author>
  </authors>
  <commentList>
    <comment ref="S1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Xiao deleted it since this table makes no sense</t>
        </r>
      </text>
    </comment>
    <comment ref="B2" authorId="1">
      <text>
        <r>
          <rPr>
            <b/>
            <sz val="9"/>
            <rFont val="Tahoma"/>
            <charset val="1"/>
          </rPr>
          <t>Amit Kanudia:</t>
        </r>
        <r>
          <rPr>
            <sz val="9"/>
            <rFont val="Tahoma"/>
            <charset val="1"/>
          </rPr>
          <t xml:space="preserve">
27-07-2023
from BP data.. Storage costs are quite low
</t>
        </r>
      </text>
    </comment>
  </commentList>
</comments>
</file>

<file path=xl/comments6.xml><?xml version="1.0" encoding="utf-8"?>
<comments xmlns="http://schemas.openxmlformats.org/spreadsheetml/2006/main">
  <authors>
    <author>Amit Kanudia</author>
  </authors>
  <commentList>
    <comment ref="E8" authorId="0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17-06-2022
6kw batteries in cars
</t>
        </r>
      </text>
    </comment>
  </commentList>
</comments>
</file>

<file path=xl/sharedStrings.xml><?xml version="1.0" encoding="utf-8"?>
<sst xmlns="http://schemas.openxmlformats.org/spreadsheetml/2006/main" count="3969" uniqueCount="748">
  <si>
    <t>*this is to align the power sector with reality while we work with a reduced structure to explore batteries</t>
  </si>
  <si>
    <t>~UC_SETS: R_E: AllRegions</t>
  </si>
  <si>
    <t>~UC_T: UC_RHSRT~LO~2025</t>
  </si>
  <si>
    <t>*tech</t>
  </si>
  <si>
    <t>UC_N</t>
  </si>
  <si>
    <t>pset_set</t>
  </si>
  <si>
    <t>UC_CAP</t>
  </si>
  <si>
    <t>Africa_North</t>
  </si>
  <si>
    <t>Africa_Other</t>
  </si>
  <si>
    <t>Australia</t>
  </si>
  <si>
    <t>Austria</t>
  </si>
  <si>
    <t>Baltics</t>
  </si>
  <si>
    <t>BeNeLux</t>
  </si>
  <si>
    <t>Brazil</t>
  </si>
  <si>
    <t>China</t>
  </si>
  <si>
    <t>CroSloven</t>
  </si>
  <si>
    <t>CzechSlovak</t>
  </si>
  <si>
    <t>France</t>
  </si>
  <si>
    <t>Germany</t>
  </si>
  <si>
    <t>GreeceCyp</t>
  </si>
  <si>
    <t>HunRomBul</t>
  </si>
  <si>
    <t>Iceland</t>
  </si>
  <si>
    <t>India</t>
  </si>
  <si>
    <t>Ireland</t>
  </si>
  <si>
    <t>ItalyMal</t>
  </si>
  <si>
    <t>Japan</t>
  </si>
  <si>
    <t>LatAm</t>
  </si>
  <si>
    <t>MidEast</t>
  </si>
  <si>
    <t>NorthAm</t>
  </si>
  <si>
    <t>Norway</t>
  </si>
  <si>
    <t>Poland</t>
  </si>
  <si>
    <t>ROW</t>
  </si>
  <si>
    <t>Russia</t>
  </si>
  <si>
    <t>SaudiArabia</t>
  </si>
  <si>
    <t>SouthAfrica</t>
  </si>
  <si>
    <t>SpainPor</t>
  </si>
  <si>
    <t>SweFinDen</t>
  </si>
  <si>
    <t>Switzerland</t>
  </si>
  <si>
    <t>Turkey</t>
  </si>
  <si>
    <t>UK</t>
  </si>
  <si>
    <t>Ukraine</t>
  </si>
  <si>
    <t>WestBalkans</t>
  </si>
  <si>
    <t>UC_RHSRT~0</t>
  </si>
  <si>
    <t>limtype</t>
  </si>
  <si>
    <t>Coal</t>
  </si>
  <si>
    <t/>
  </si>
  <si>
    <t>Gas</t>
  </si>
  <si>
    <t>Hydro</t>
  </si>
  <si>
    <t>Nuclear</t>
  </si>
  <si>
    <t>Solar</t>
  </si>
  <si>
    <t>UP</t>
  </si>
  <si>
    <t>Wind</t>
  </si>
  <si>
    <t>Trans - Insert</t>
  </si>
  <si>
    <t>~TFM_INS</t>
  </si>
  <si>
    <t>TimeSlice</t>
  </si>
  <si>
    <t>LimType</t>
  </si>
  <si>
    <t>Attribute</t>
  </si>
  <si>
    <t>Year</t>
  </si>
  <si>
    <t>Curr</t>
  </si>
  <si>
    <t>Val_Cond</t>
  </si>
  <si>
    <t>AllRegions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</si>
  <si>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</si>
  <si>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</si>
  <si>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</si>
  <si>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</si>
  <si>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</si>
  <si>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</si>
  <si>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</si>
  <si>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</si>
  <si>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FLO_COST</t>
  </si>
  <si>
    <t>USD15</t>
  </si>
  <si>
    <t>*REFINE*</t>
  </si>
  <si>
    <t>OILDST</t>
  </si>
  <si>
    <t>attribute</t>
  </si>
  <si>
    <t>process</t>
  </si>
  <si>
    <t>value</t>
  </si>
  <si>
    <t>pset_ci</t>
  </si>
  <si>
    <t>pset_co</t>
  </si>
  <si>
    <t>OILGSL</t>
  </si>
  <si>
    <t>END</t>
  </si>
  <si>
    <t>EN_GeoThermal*</t>
  </si>
  <si>
    <t>OILHFO</t>
  </si>
  <si>
    <t>START</t>
  </si>
  <si>
    <t>*NGA</t>
  </si>
  <si>
    <t>CSC,RSC</t>
  </si>
  <si>
    <t>`</t>
  </si>
  <si>
    <t>OILJTK</t>
  </si>
  <si>
    <t>OILKER</t>
  </si>
  <si>
    <t>OILLPG</t>
  </si>
  <si>
    <t>~TFM_INS-TS</t>
  </si>
  <si>
    <t>Trd*GH2_10</t>
  </si>
  <si>
    <t>pset_pn</t>
  </si>
  <si>
    <t>PSET_SET</t>
  </si>
  <si>
    <t>Top_Check</t>
  </si>
  <si>
    <t>t_neg_and_or</t>
  </si>
  <si>
    <t>Trd_Hdt_gsl_01</t>
  </si>
  <si>
    <t>DELIV</t>
  </si>
  <si>
    <t>ELC</t>
  </si>
  <si>
    <t>___ELC</t>
  </si>
  <si>
    <t>IN</t>
  </si>
  <si>
    <t>COMELC</t>
  </si>
  <si>
    <t>INDELC</t>
  </si>
  <si>
    <t>GASNGA</t>
  </si>
  <si>
    <t>___NGA,-ELCNGA</t>
  </si>
  <si>
    <t>PRE</t>
  </si>
  <si>
    <t>I*GEO*</t>
  </si>
  <si>
    <t>INDNGA</t>
  </si>
  <si>
    <t>INVCOST</t>
  </si>
  <si>
    <t>SUP_TREFINER</t>
  </si>
  <si>
    <t>RESNGA,COMNGA</t>
  </si>
  <si>
    <t>LIFE</t>
  </si>
  <si>
    <t>TRANGA</t>
  </si>
  <si>
    <t>DMD</t>
  </si>
  <si>
    <t>TAD,TAI</t>
  </si>
  <si>
    <t>TRAELC</t>
  </si>
  <si>
    <t>GASLNG</t>
  </si>
  <si>
    <t>*LPG</t>
  </si>
  <si>
    <t>RESLPG,COMLPG</t>
  </si>
  <si>
    <t>~TFM_MIG</t>
  </si>
  <si>
    <t>*HFO,*KER,*DST</t>
  </si>
  <si>
    <t>COMHFO,COMDST,COMKER,RESHFO,RESDST,RESKER</t>
  </si>
  <si>
    <t>LimType2</t>
  </si>
  <si>
    <t>Year2</t>
  </si>
  <si>
    <t>attribute2</t>
  </si>
  <si>
    <t>CSET_SET</t>
  </si>
  <si>
    <t>CSET_CN</t>
  </si>
  <si>
    <t>top_check</t>
  </si>
  <si>
    <t>HH2</t>
  </si>
  <si>
    <t>*H2</t>
  </si>
  <si>
    <t>-*conv_liquid*</t>
  </si>
  <si>
    <t>-IRE,-STG</t>
  </si>
  <si>
    <t>OR</t>
  </si>
  <si>
    <t>ACT_BND</t>
  </si>
  <si>
    <t>*1</t>
  </si>
  <si>
    <t>SUP_TRANSFER,SUP_TCOALLIQ,SUP_TGTL,SUP_TNONSPEC,SUP_TBLENDGAS</t>
  </si>
  <si>
    <t>COM*</t>
  </si>
  <si>
    <t>SUP_TCOALLIQ,SUP_TGTL,SUP_TNONSPEC,SUP_TBLENDGAS</t>
  </si>
  <si>
    <t>IND*,ELC*</t>
  </si>
  <si>
    <t>SUP_TGASWKS</t>
  </si>
  <si>
    <t>OIL*</t>
  </si>
  <si>
    <t>TRA*</t>
  </si>
  <si>
    <t>-IRE</t>
  </si>
  <si>
    <t>*2</t>
  </si>
  <si>
    <t>FLO_SHAR</t>
  </si>
  <si>
    <t>+.25</t>
  </si>
  <si>
    <t>NRG</t>
  </si>
  <si>
    <t>OUT</t>
  </si>
  <si>
    <t>BIODST,BIOGSL</t>
  </si>
  <si>
    <t>+.5</t>
  </si>
  <si>
    <t>OILCRD</t>
  </si>
  <si>
    <t>~TFM_INS: limtype=FX; PSET_SET=CHP</t>
  </si>
  <si>
    <t>LO</t>
  </si>
  <si>
    <t>Albania</t>
  </si>
  <si>
    <t>Algeria</t>
  </si>
  <si>
    <t>Angola</t>
  </si>
  <si>
    <t>Argentina</t>
  </si>
  <si>
    <t>Armenia</t>
  </si>
  <si>
    <t>Azerbaijan</t>
  </si>
  <si>
    <t>Bangladesh</t>
  </si>
  <si>
    <t>Belarus</t>
  </si>
  <si>
    <t>Belgium</t>
  </si>
  <si>
    <t>Bosnia_Herz</t>
  </si>
  <si>
    <t>Bulgaria</t>
  </si>
  <si>
    <t>Cameroon</t>
  </si>
  <si>
    <t>Canada</t>
  </si>
  <si>
    <t>Chile</t>
  </si>
  <si>
    <t>Colombia</t>
  </si>
  <si>
    <t>Croatia</t>
  </si>
  <si>
    <t>Cyprus</t>
  </si>
  <si>
    <t>Czech</t>
  </si>
  <si>
    <t>Denmark</t>
  </si>
  <si>
    <t>DR_Congo</t>
  </si>
  <si>
    <t>Egypt</t>
  </si>
  <si>
    <t>Estonia</t>
  </si>
  <si>
    <t>Ethiopia</t>
  </si>
  <si>
    <t>Finland</t>
  </si>
  <si>
    <t>Georgia</t>
  </si>
  <si>
    <t>Ghana</t>
  </si>
  <si>
    <t>Greece</t>
  </si>
  <si>
    <t>Hungary</t>
  </si>
  <si>
    <t>Indonesia</t>
  </si>
  <si>
    <t>Iran</t>
  </si>
  <si>
    <t>Iraq</t>
  </si>
  <si>
    <t>Israel</t>
  </si>
  <si>
    <t>Italy</t>
  </si>
  <si>
    <t>IvoryCoast</t>
  </si>
  <si>
    <t>Kazakhstan</t>
  </si>
  <si>
    <t>Kenya</t>
  </si>
  <si>
    <t>Kosovo</t>
  </si>
  <si>
    <t>Kuwait</t>
  </si>
  <si>
    <t>Kyrgyzstan</t>
  </si>
  <si>
    <t>Latvia</t>
  </si>
  <si>
    <t>Libya</t>
  </si>
  <si>
    <t>Lithuania</t>
  </si>
  <si>
    <t>Luxembourg</t>
  </si>
  <si>
    <t>Macedonia</t>
  </si>
  <si>
    <t>Malaysia</t>
  </si>
  <si>
    <t>Malta</t>
  </si>
  <si>
    <t>Mexico</t>
  </si>
  <si>
    <t>Moldova</t>
  </si>
  <si>
    <t>Montenegro</t>
  </si>
  <si>
    <t>Morocco</t>
  </si>
  <si>
    <t>Mozambique</t>
  </si>
  <si>
    <t>Myanmar</t>
  </si>
  <si>
    <t>Nepal</t>
  </si>
  <si>
    <t>Netherlands</t>
  </si>
  <si>
    <t>NewZealand</t>
  </si>
  <si>
    <t>Niger</t>
  </si>
  <si>
    <t>Nigeria</t>
  </si>
  <si>
    <t>Oman</t>
  </si>
  <si>
    <t>Other_Africa</t>
  </si>
  <si>
    <t>Other_AsiaEm</t>
  </si>
  <si>
    <t>Other_EurDev</t>
  </si>
  <si>
    <t>Other_LatAm</t>
  </si>
  <si>
    <t>Other_MidEast</t>
  </si>
  <si>
    <t>Pakistan</t>
  </si>
  <si>
    <t>Peru</t>
  </si>
  <si>
    <t>Philippines</t>
  </si>
  <si>
    <t>Portugal</t>
  </si>
  <si>
    <t>Qatar</t>
  </si>
  <si>
    <t>Romania</t>
  </si>
  <si>
    <t>Serbia</t>
  </si>
  <si>
    <t>Singapore</t>
  </si>
  <si>
    <t>Slovak</t>
  </si>
  <si>
    <t>Slovenia</t>
  </si>
  <si>
    <t>SouthKorea</t>
  </si>
  <si>
    <t>Spain</t>
  </si>
  <si>
    <t>Sudan</t>
  </si>
  <si>
    <t>Sweden</t>
  </si>
  <si>
    <t>Taiwan</t>
  </si>
  <si>
    <t>Tajikistan</t>
  </si>
  <si>
    <t>Tanzania</t>
  </si>
  <si>
    <t>Thailand</t>
  </si>
  <si>
    <t>Tunisia</t>
  </si>
  <si>
    <t>Turkmenistan</t>
  </si>
  <si>
    <t>UAE</t>
  </si>
  <si>
    <t>USA</t>
  </si>
  <si>
    <t>Uzbekistan</t>
  </si>
  <si>
    <t>Venezuela</t>
  </si>
  <si>
    <t>Vietnam</t>
  </si>
  <si>
    <t>Yemen</t>
  </si>
  <si>
    <t>Zambia</t>
  </si>
  <si>
    <t>*WORLD</t>
  </si>
  <si>
    <t>year</t>
  </si>
  <si>
    <t>allregions</t>
  </si>
  <si>
    <t>CHPR</t>
  </si>
  <si>
    <t>FX</t>
  </si>
  <si>
    <t>PASTI</t>
  </si>
  <si>
    <t>*.5</t>
  </si>
  <si>
    <t>GASRFG</t>
  </si>
  <si>
    <t>*FLO_SHAR</t>
  </si>
  <si>
    <t>OILNGL</t>
  </si>
  <si>
    <t>region</t>
  </si>
  <si>
    <t>commodity</t>
  </si>
  <si>
    <t>COM_BNDNET</t>
  </si>
  <si>
    <t>OIL[_]???,GAS[_]???</t>
  </si>
  <si>
    <t>~TFM_UPD: sourcescen=BASE</t>
  </si>
  <si>
    <t>share</t>
  </si>
  <si>
    <t>FT_INDOIL,FT_ELCOIL</t>
  </si>
  <si>
    <t>+.03</t>
  </si>
  <si>
    <t>SUP_TREF*</t>
  </si>
  <si>
    <t>OILNAP</t>
  </si>
  <si>
    <t>+.05</t>
  </si>
  <si>
    <t>OILHFO,OILGSL,OILPTC,OILLPG</t>
  </si>
  <si>
    <t>~TFM_TOPINS</t>
  </si>
  <si>
    <t>PSET_CI</t>
  </si>
  <si>
    <t>cset_cn</t>
  </si>
  <si>
    <t>attrib_cond</t>
  </si>
  <si>
    <t>not supported!!</t>
  </si>
  <si>
    <t>DMD,PRE</t>
  </si>
  <si>
    <t>COMNGA</t>
  </si>
  <si>
    <t>COMHH2</t>
  </si>
  <si>
    <t>-mis_*</t>
  </si>
  <si>
    <t>-FLO_SHAR</t>
  </si>
  <si>
    <t>INDHH2</t>
  </si>
  <si>
    <t>RESNGA</t>
  </si>
  <si>
    <t>RESHH2</t>
  </si>
  <si>
    <t>*</t>
  </si>
  <si>
    <t>COMSNG</t>
  </si>
  <si>
    <t>INDSNG</t>
  </si>
  <si>
    <t>RESSNG</t>
  </si>
  <si>
    <t>ELE</t>
  </si>
  <si>
    <t>ELCNGA</t>
  </si>
  <si>
    <t>ELCHH2</t>
  </si>
  <si>
    <t>-PASTI</t>
  </si>
  <si>
    <t>NCAP_BND</t>
  </si>
  <si>
    <t>H2Prd*</t>
  </si>
  <si>
    <t>PSET_CO</t>
  </si>
  <si>
    <t>TAD</t>
  </si>
  <si>
    <t>TRAELC,TRABJT</t>
  </si>
  <si>
    <t>NCAP_CPX</t>
  </si>
  <si>
    <t>Trd[_]*</t>
  </si>
  <si>
    <t>TAI</t>
  </si>
  <si>
    <t>TRABJT</t>
  </si>
  <si>
    <t>TW?</t>
  </si>
  <si>
    <t>TRAGH2</t>
  </si>
  <si>
    <t>ELIFE</t>
  </si>
  <si>
    <t>TRAJTK</t>
  </si>
  <si>
    <t>OILJTKs</t>
  </si>
  <si>
    <t>TRAGSL</t>
  </si>
  <si>
    <t>OILGSLs</t>
  </si>
  <si>
    <t>TRADST</t>
  </si>
  <si>
    <t>OILDSTs</t>
  </si>
  <si>
    <t>~TFM_INS: attribute=PASTI</t>
  </si>
  <si>
    <t>CEFF</t>
  </si>
  <si>
    <t>Trd_car_elc_120,Trd_car_elc_160,Trd_car_elc_200,Trd_car_elc_250,Trd_car_elc_300</t>
  </si>
  <si>
    <t>metric</t>
  </si>
  <si>
    <t>KiNESYS_CEA</t>
  </si>
  <si>
    <t>million</t>
  </si>
  <si>
    <t>Sales</t>
  </si>
  <si>
    <t>Stock</t>
  </si>
  <si>
    <t>~TFM_INS: curr=USD21</t>
  </si>
  <si>
    <t>~TFM_UPD</t>
  </si>
  <si>
    <t>*Scenario</t>
  </si>
  <si>
    <t>Process</t>
  </si>
  <si>
    <t>*DefaultReg</t>
  </si>
  <si>
    <t>weopg_Africa</t>
  </si>
  <si>
    <t>weopg_Brazil</t>
  </si>
  <si>
    <t>weopg_China</t>
  </si>
  <si>
    <t>weopg_European Union</t>
  </si>
  <si>
    <t>weopg_India</t>
  </si>
  <si>
    <t>weopg_Japan</t>
  </si>
  <si>
    <t>weopg_Middle East</t>
  </si>
  <si>
    <t>weopg_Russia</t>
  </si>
  <si>
    <t>weopg_United States</t>
  </si>
  <si>
    <t>EN_Bioenergy - Cofiring</t>
  </si>
  <si>
    <t>\I: EN_Bioenergy - Cofiring</t>
  </si>
  <si>
    <t>to disable coal/gas CCS in certain regions (as per WEO2022)</t>
  </si>
  <si>
    <t>Ref</t>
  </si>
  <si>
    <t>EFF</t>
  </si>
  <si>
    <t>EN_Bioenergy - Large scale unit</t>
  </si>
  <si>
    <t>-EFF</t>
  </si>
  <si>
    <t>ELE,-STG</t>
  </si>
  <si>
    <t>EN_Bioenergy - Medium-scale CHP</t>
  </si>
  <si>
    <t>\I: EN_Bioenergy - Medium-scale CHP</t>
  </si>
  <si>
    <t>EN_Bioenergy + CCUS</t>
  </si>
  <si>
    <t>FIXOM</t>
  </si>
  <si>
    <t>EN_CCGT</t>
  </si>
  <si>
    <t>EN_CCGT - CHP</t>
  </si>
  <si>
    <t>\I: EN_CCGT - CHP</t>
  </si>
  <si>
    <t>EN_CCGT + CCS</t>
  </si>
  <si>
    <t>EN_Coal + CCS</t>
  </si>
  <si>
    <t>EN_Concentrating solar power</t>
  </si>
  <si>
    <t>\I: EN_Concentrating solar power</t>
  </si>
  <si>
    <t>EN_Fuel cell (distributed electricity generation)</t>
  </si>
  <si>
    <t>\I: EN_Fuel cell (distributed electricity generation)</t>
  </si>
  <si>
    <t>EN_Gas turbine</t>
  </si>
  <si>
    <t>EN_Geothermal</t>
  </si>
  <si>
    <t>EN_Hydropower - large-scale unit</t>
  </si>
  <si>
    <t>EN_Hydro*</t>
  </si>
  <si>
    <t>EN_Hydropower - small-scale unit</t>
  </si>
  <si>
    <t>\I: EN_Hydropower - small-scale unit</t>
  </si>
  <si>
    <t>EN_IGCC</t>
  </si>
  <si>
    <t>EN_IGCC + CCS</t>
  </si>
  <si>
    <t>EN_Marine</t>
  </si>
  <si>
    <t>EN_Nuclear</t>
  </si>
  <si>
    <t>EN_Solar photovoltaics - Buildings</t>
  </si>
  <si>
    <t>\I: EN_Solar photovoltaics - Buildings</t>
  </si>
  <si>
    <t>EN_Solar photovoltaics - Large scale unit</t>
  </si>
  <si>
    <t>EN_SPV*</t>
  </si>
  <si>
    <t>EN_Steam Coal - SUBCRITICAL</t>
  </si>
  <si>
    <t>EN_Steam Coal - SUPERCRITICAL</t>
  </si>
  <si>
    <t>EN_Steam Coal - ULTRASUPERCRITICAL</t>
  </si>
  <si>
    <t>EN_Wind offshore</t>
  </si>
  <si>
    <t>EN_WOF*</t>
  </si>
  <si>
    <t>EN_Wind onshore</t>
  </si>
  <si>
    <t>EN_WON*</t>
  </si>
  <si>
    <t>EN_Oxyfuel + CCS</t>
  </si>
  <si>
    <t>\I: EN_Oxyfuel + CCS</t>
  </si>
  <si>
    <t>Solar photovoltaics - Large scale unit</t>
  </si>
  <si>
    <t>Wind offshore</t>
  </si>
  <si>
    <t>Wind onshore</t>
  </si>
  <si>
    <t>NULL</t>
  </si>
  <si>
    <t>Range (million USD/ktonne)</t>
  </si>
  <si>
    <t>Description</t>
  </si>
  <si>
    <t>Source</t>
  </si>
  <si>
    <t>0.02 (0.01-0.03)</t>
  </si>
  <si>
    <t>Daily operating costs of large dry bulk carriers (≈80,000–160,000 dwt) range from roughly €30,000–37,000 per day, implying maritime transport costs on the order of $10–30 per tonne for intercontinental shipments.</t>
  </si>
  <si>
    <t>Assessing the Link between Vessel Size and Maritime Supply
Chain Sustainable Performance</t>
  </si>
  <si>
    <t>0.02 (0.02-0.03)</t>
  </si>
  <si>
    <t>Bulk maritime shipping costs for dry commodities are typically on the order of $20–30 per tonne
 for intercontinental routes, corresponding to approximately $2–3 per tonne per 1,000 miles, consistent with industry estimates.</t>
  </si>
  <si>
    <t>https://thundersaidenergy.com/downloads/bulk-shipping-cost-breakdown/</t>
  </si>
  <si>
    <t>MidEast_Naf</t>
  </si>
  <si>
    <t>ACT_COST</t>
  </si>
  <si>
    <t>USD18</t>
  </si>
  <si>
    <t>IRE</t>
  </si>
  <si>
    <t>Glb*</t>
  </si>
  <si>
    <t>m_*</t>
  </si>
  <si>
    <t>~UC_T: UC_FLO~2020</t>
  </si>
  <si>
    <t>UC_ATTR</t>
  </si>
  <si>
    <t>Cset_cn</t>
  </si>
  <si>
    <t>RHS</t>
  </si>
  <si>
    <t>UC_Desc</t>
  </si>
  <si>
    <t>FLO,GROWTH</t>
  </si>
  <si>
    <t>UC_mis_growth - oil</t>
  </si>
  <si>
    <t>INDOIL</t>
  </si>
  <si>
    <t>mis_*</t>
  </si>
  <si>
    <t>Max growth in oil consumption not to exceed 5% pa - steel</t>
  </si>
  <si>
    <t>UC_mis_decay - oil</t>
  </si>
  <si>
    <t>Max decay in oil consumption not to exceed 5% pa - steel</t>
  </si>
  <si>
    <t>~UC_SETS: R_E: Albania,Algeria,Angola,Argentina,Armenia,Australia,Austria,Azerbaijan,Bangladesh,Belarus,Belgium,Bosnia_Herz,Brazil,Bulgaria,Cameroon,Canada,Chile,China,Colombia,Croatia,Cyprus,Czech,Denmark,DR_Congo,Egypt,Estonia,Ethiopia,Finland,France,Georgia,Germany,Ghana,Greece,Hungary,Iceland,India,Indonesia,Iran,Iraq,Ireland,Israel,Italy,IvoryCoast,Japan,Kazakhstan,Kenya,Kosovo,Kuwait,Kyrgyzstan,Latvia,Libya,Lithuania,Luxembourg,Macedonia,Malaysia,Malta,Mexico,Moldova,Montenegro,Morocco,Mozambique,Myanmar,Nepal,Netherlands,NewZealand,Niger,Nigeria,Norway,Oman,Other_Africa,Other_AsiaEm,Other_EurDev,Other_LatAm,Other_MidEast,Pakistan,Peru,Philippines,Poland,Portugal,Qatar,Romania,Russia,SaudiArabia,Serbia,Singapore,Slovak,Slovenia,SouthAfrica,SouthKorea,Spain,Sudan,Sweden,Switzerland,Taiwan,Tajikistan,Tanzania,Thailand,Tunisia,Turkey,Turkmenistan,UAE,UK,Ukraine,USA,Uzbekistan,Venezuela,Vietnam,Yemen,Zambia</t>
  </si>
  <si>
    <t>~UC_T: UC_CAP~UP</t>
  </si>
  <si>
    <t>UC_RHSRT</t>
  </si>
  <si>
    <t>CAP,GROWTH</t>
  </si>
  <si>
    <t>ELE,CHP</t>
  </si>
  <si>
    <t>ELCOIL*</t>
  </si>
  <si>
    <t>ELCCO?</t>
  </si>
  <si>
    <t>~tfm_ins-ts: limtype=LO</t>
  </si>
  <si>
    <t>~UC_T: N</t>
  </si>
  <si>
    <t>cset_set</t>
  </si>
  <si>
    <t>uc_comprd</t>
  </si>
  <si>
    <t>uc_comnet</t>
  </si>
  <si>
    <t>uc_rhsrt~0</t>
  </si>
  <si>
    <t>COM_ELAST</t>
  </si>
  <si>
    <t>DEM</t>
  </si>
  <si>
    <t>rep_tra_road_pass</t>
  </si>
  <si>
    <t>Trd_Car,Trd_2w,Trd_3w,Trd_bus</t>
  </si>
  <si>
    <t>COM_VOC</t>
  </si>
  <si>
    <t>rep_tra_road_frt</t>
  </si>
  <si>
    <t>Trd_Hdt,Trd_Lcv</t>
  </si>
  <si>
    <t>COM_STEP</t>
  </si>
  <si>
    <t>rep_totco2</t>
  </si>
  <si>
    <t>TOTCO2</t>
  </si>
  <si>
    <t>rep_com_cookhw</t>
  </si>
  <si>
    <t>CCK</t>
  </si>
  <si>
    <t>CHW</t>
  </si>
  <si>
    <t>rep_com_lightappl</t>
  </si>
  <si>
    <t>CLA</t>
  </si>
  <si>
    <t>COE,COT,CRF</t>
  </si>
  <si>
    <t>mis_steel_crude</t>
  </si>
  <si>
    <t>rep_com_spcool</t>
  </si>
  <si>
    <t>CSC</t>
  </si>
  <si>
    <t>rep_com_spht</t>
  </si>
  <si>
    <t>CSH</t>
  </si>
  <si>
    <t>rep_res_cookhw</t>
  </si>
  <si>
    <t>RCK</t>
  </si>
  <si>
    <t>RHW</t>
  </si>
  <si>
    <t>rep_res_lightappl</t>
  </si>
  <si>
    <t>RCD,RCW,RDW,REA,ROT,RRF</t>
  </si>
  <si>
    <t>RLI</t>
  </si>
  <si>
    <t>rep_res_spcool</t>
  </si>
  <si>
    <t>RSC</t>
  </si>
  <si>
    <t>rep_res_spht</t>
  </si>
  <si>
    <t>RSH</t>
  </si>
  <si>
    <t>~tfm_topins</t>
  </si>
  <si>
    <t>uc_cumact</t>
  </si>
  <si>
    <t>uc_dynbnd</t>
  </si>
  <si>
    <t>agr000</t>
  </si>
  <si>
    <t>repuc_unity</t>
  </si>
  <si>
    <t>out</t>
  </si>
  <si>
    <t>rep_CumFlows</t>
  </si>
  <si>
    <t>mingas_rs*,minoil_rs*</t>
  </si>
  <si>
    <t>2019-2030</t>
  </si>
  <si>
    <t>2019-2035</t>
  </si>
  <si>
    <t>~tfm_ins-ts</t>
  </si>
  <si>
    <t>2019-2040</t>
  </si>
  <si>
    <t>2019-2045</t>
  </si>
  <si>
    <t>com_bndnet</t>
  </si>
  <si>
    <t>Main elec + CHP - wtd average utilization</t>
  </si>
  <si>
    <t>WORLD</t>
  </si>
  <si>
    <t>ELCCOB</t>
  </si>
  <si>
    <t>ELCCOA</t>
  </si>
  <si>
    <t>ELCOIL</t>
  </si>
  <si>
    <t>ELCOIL_CRD</t>
  </si>
  <si>
    <t>ELCOIL_DST</t>
  </si>
  <si>
    <t>ELCBSL</t>
  </si>
  <si>
    <t>RELAXATION (GAS AND OIL)</t>
  </si>
  <si>
    <t>UC_ACT</t>
  </si>
  <si>
    <t>-CO2cap*</t>
  </si>
  <si>
    <t>relaxing upper bounds on utilization</t>
  </si>
  <si>
    <t>\I:</t>
  </si>
  <si>
    <t>The info below comes from IRENA data</t>
  </si>
  <si>
    <t>DeACT UC_T: UC_CAP~LO</t>
  </si>
  <si>
    <t>DeACT TFM_INS: attribute=AFA;Limtype=LO</t>
  </si>
  <si>
    <t>???CO?</t>
  </si>
  <si>
    <t>???NGA</t>
  </si>
  <si>
    <t>???OIL*</t>
  </si>
  <si>
    <t>???BSL</t>
  </si>
  <si>
    <t>IRENA Vs IEA/Platts check</t>
  </si>
  <si>
    <t>Nat Gas</t>
  </si>
  <si>
    <t>Oil</t>
  </si>
  <si>
    <t>Solid bio</t>
  </si>
  <si>
    <t>~UC_T: UC_CAP~LO</t>
  </si>
  <si>
    <t>~TFM_INS: attribute=AFA;Limtype=LO</t>
  </si>
  <si>
    <t>Attrib_Cond</t>
  </si>
  <si>
    <t>other defaults</t>
  </si>
  <si>
    <t>TFM_INS-TS</t>
  </si>
  <si>
    <t>E_Nuclear</t>
  </si>
  <si>
    <t>AFA</t>
  </si>
  <si>
    <t>E_Hydro</t>
  </si>
  <si>
    <t>-AFA</t>
  </si>
  <si>
    <t>Fixom and Varom computation for NEEDS units.sql</t>
  </si>
  <si>
    <t>~TFM_INS-TS: attribute=SHAPE</t>
  </si>
  <si>
    <t>Plant Type</t>
  </si>
  <si>
    <t>SO2  Control</t>
  </si>
  <si>
    <t>NOx  Control</t>
  </si>
  <si>
    <t>Hg Control</t>
  </si>
  <si>
    <t>Age of Unit</t>
  </si>
  <si>
    <t>FOM (2019$ /kW-Yr)</t>
  </si>
  <si>
    <t>Age2</t>
  </si>
  <si>
    <t>FOM2</t>
  </si>
  <si>
    <t>SHAPE</t>
  </si>
  <si>
    <t>other_indexes</t>
  </si>
  <si>
    <t>Coal Steam</t>
  </si>
  <si>
    <t>Dry FGD</t>
  </si>
  <si>
    <t>None</t>
  </si>
  <si>
    <t>0 to 40 Years</t>
  </si>
  <si>
    <t>40 to 50 Years</t>
  </si>
  <si>
    <t>O/G Steam</t>
  </si>
  <si>
    <t>SCR</t>
  </si>
  <si>
    <t>Combined Cycle</t>
  </si>
  <si>
    <t>All Years</t>
  </si>
  <si>
    <t>Combustion Turbine</t>
  </si>
  <si>
    <t>IPM Table 4-10 Life Extension Cost Assumptions Used in v6</t>
  </si>
  <si>
    <t xml:space="preserve">The life extension costs were added once the unit reaches its assumed lifespan. </t>
  </si>
  <si>
    <t xml:space="preserve">However, if the unit reaches its lifespan before the first run year, then the life extension cost was applied when the unit reaches twice its lifespan age. </t>
  </si>
  <si>
    <t xml:space="preserve">The assumption implies if the unit has reached its lifespan before the first run year, it has already incurred the necessary life extension related investment costs and is considered sunk. </t>
  </si>
  <si>
    <t>Type, Lifespan</t>
  </si>
  <si>
    <t>Lifespan</t>
  </si>
  <si>
    <t xml:space="preserve">Life Extension Cost (2019$/kW) </t>
  </si>
  <si>
    <t xml:space="preserve">Biomass 40 </t>
  </si>
  <si>
    <t xml:space="preserve">40 </t>
  </si>
  <si>
    <t xml:space="preserve">Coal Steam 40 </t>
  </si>
  <si>
    <t xml:space="preserve">Combined Cycle 30 </t>
  </si>
  <si>
    <t xml:space="preserve">30 </t>
  </si>
  <si>
    <t xml:space="preserve">Combustion Turbine 30 </t>
  </si>
  <si>
    <t>NCAP_FOMX</t>
  </si>
  <si>
    <t>E_Coal,DMD_AUTOP</t>
  </si>
  <si>
    <t>*CO?</t>
  </si>
  <si>
    <t xml:space="preserve">IC Engine 30 </t>
  </si>
  <si>
    <t>E_Gas-ST</t>
  </si>
  <si>
    <t xml:space="preserve">Oil/Gas Steam 40 </t>
  </si>
  <si>
    <t>E_Gas-CC</t>
  </si>
  <si>
    <t xml:space="preserve">IGCC 40 </t>
  </si>
  <si>
    <t>E_Gas-CT</t>
  </si>
  <si>
    <t xml:space="preserve">Landfill Gas 20 </t>
  </si>
  <si>
    <t xml:space="preserve">20 </t>
  </si>
  <si>
    <t>Other_Indexes</t>
  </si>
  <si>
    <t>coal var</t>
  </si>
  <si>
    <t>gas var</t>
  </si>
  <si>
    <t>fuel</t>
  </si>
  <si>
    <t>kg/GJ</t>
  </si>
  <si>
    <t>source</t>
  </si>
  <si>
    <t>~TFM_DINS</t>
  </si>
  <si>
    <t>AGRCOA</t>
  </si>
  <si>
    <t>BFG</t>
  </si>
  <si>
    <t>c</t>
  </si>
  <si>
    <t>Carbon Dioxide Emissions Coefficients by Fuel</t>
  </si>
  <si>
    <t>io</t>
  </si>
  <si>
    <t>AGRKER</t>
  </si>
  <si>
    <t>BIO</t>
  </si>
  <si>
    <t>b</t>
  </si>
  <si>
    <t xml:space="preserve">Pounds CO2 </t>
  </si>
  <si>
    <t>Kilograms CO2</t>
  </si>
  <si>
    <t>Pounds CO2</t>
  </si>
  <si>
    <t>VDA_EMCB</t>
  </si>
  <si>
    <t>COM_AGG</t>
  </si>
  <si>
    <t>NetCO2*</t>
  </si>
  <si>
    <t>Pipeline-CO2</t>
  </si>
  <si>
    <t>CO2Captured[_]*</t>
  </si>
  <si>
    <t>AGRLPG</t>
  </si>
  <si>
    <t>BSL</t>
  </si>
  <si>
    <t xml:space="preserve">Carbon Dioxide (CO2) Factors: </t>
  </si>
  <si>
    <t>Per Unit of Volume or Mass</t>
  </si>
  <si>
    <t>Per Million Btu</t>
  </si>
  <si>
    <t>Per GJ</t>
  </si>
  <si>
    <t>AGRNGA</t>
  </si>
  <si>
    <t>COA</t>
  </si>
  <si>
    <t>For homes and businesses</t>
  </si>
  <si>
    <t>AGROIL</t>
  </si>
  <si>
    <t>CoaG</t>
  </si>
  <si>
    <t>Propane</t>
  </si>
  <si>
    <t>gallon</t>
  </si>
  <si>
    <t>CO2Captured*,CO2_DAC</t>
  </si>
  <si>
    <t>COMCOA</t>
  </si>
  <si>
    <t>COB</t>
  </si>
  <si>
    <t>Butane</t>
  </si>
  <si>
    <t>COMHFO</t>
  </si>
  <si>
    <t>COG</t>
  </si>
  <si>
    <t>Butane/Propane Mix</t>
  </si>
  <si>
    <t>main non-energy use emissions</t>
  </si>
  <si>
    <t>COMKER</t>
  </si>
  <si>
    <t>COK</t>
  </si>
  <si>
    <t>Home Heating and Diesel Fuel (Distillate)</t>
  </si>
  <si>
    <t>COMLPG</t>
  </si>
  <si>
    <t>DST</t>
  </si>
  <si>
    <t>o</t>
  </si>
  <si>
    <t>Kerosene</t>
  </si>
  <si>
    <t>ETH</t>
  </si>
  <si>
    <t>g</t>
  </si>
  <si>
    <t>Coal (All types)</t>
  </si>
  <si>
    <t>short ton</t>
  </si>
  <si>
    <t>FLO_EMIS</t>
  </si>
  <si>
    <t>ICH_feedstock</t>
  </si>
  <si>
    <t>COMOIL</t>
  </si>
  <si>
    <t>GAS</t>
  </si>
  <si>
    <t>Natural Gas</t>
  </si>
  <si>
    <t>thousand cubic feet</t>
  </si>
  <si>
    <t>GSL</t>
  </si>
  <si>
    <t>Gasoline</t>
  </si>
  <si>
    <t>ELCCoaG</t>
  </si>
  <si>
    <t>NAP</t>
  </si>
  <si>
    <t>Residual Heating Fuel (Businesses only)</t>
  </si>
  <si>
    <t>GASETH</t>
  </si>
  <si>
    <t>HFO</t>
  </si>
  <si>
    <t xml:space="preserve">Other transportation fuels </t>
  </si>
  <si>
    <t>ELCGAS</t>
  </si>
  <si>
    <t>JTK</t>
  </si>
  <si>
    <t>Jet Fuel</t>
  </si>
  <si>
    <t>KER</t>
  </si>
  <si>
    <t>Aviation Gas</t>
  </si>
  <si>
    <t>LPG</t>
  </si>
  <si>
    <t>Industrial fuels and others not listed above</t>
  </si>
  <si>
    <t>NGA</t>
  </si>
  <si>
    <t>Flared natural gas</t>
  </si>
  <si>
    <t>OIL</t>
  </si>
  <si>
    <t>Petroleum coke</t>
  </si>
  <si>
    <t>BIOBSL</t>
  </si>
  <si>
    <t>HH2CO2Nb</t>
  </si>
  <si>
    <t>ELCWAS</t>
  </si>
  <si>
    <t>OIL_CRD</t>
  </si>
  <si>
    <t>Other petroleum &amp; miscellaneous</t>
  </si>
  <si>
    <t>COAHCO</t>
  </si>
  <si>
    <t>HH2CO2Nc</t>
  </si>
  <si>
    <t>INDBFG</t>
  </si>
  <si>
    <t>OIL_DST</t>
  </si>
  <si>
    <t>Nonfuel uses</t>
  </si>
  <si>
    <t>HH2CO2Ng</t>
  </si>
  <si>
    <t>OVC</t>
  </si>
  <si>
    <t>Asphalt and Road Oil</t>
  </si>
  <si>
    <t>*FLO_EMIS</t>
  </si>
  <si>
    <t>CO2Captured_ccu</t>
  </si>
  <si>
    <t>CO2Used_ccu</t>
  </si>
  <si>
    <t>OIL*s</t>
  </si>
  <si>
    <t>INDCOA</t>
  </si>
  <si>
    <t>PTC</t>
  </si>
  <si>
    <t>Lubricants</t>
  </si>
  <si>
    <t>INDCOG</t>
  </si>
  <si>
    <t>RFG</t>
  </si>
  <si>
    <t>Petrochemical Feedstocks</t>
  </si>
  <si>
    <t>INDCOK</t>
  </si>
  <si>
    <t>RPP</t>
  </si>
  <si>
    <t>Special Naphthas (solvents)</t>
  </si>
  <si>
    <t>INDHFO</t>
  </si>
  <si>
    <t>WAS</t>
  </si>
  <si>
    <t>w</t>
  </si>
  <si>
    <t xml:space="preserve">Waxes </t>
  </si>
  <si>
    <t>INDLPG</t>
  </si>
  <si>
    <t>Coals by type</t>
  </si>
  <si>
    <t>Anthractie</t>
  </si>
  <si>
    <t>ELCCO2Net</t>
  </si>
  <si>
    <t>NetCO2_ELC</t>
  </si>
  <si>
    <t>Bituminous</t>
  </si>
  <si>
    <t>CO2Captured_elc</t>
  </si>
  <si>
    <t>INDOVC</t>
  </si>
  <si>
    <t>Subbituminous</t>
  </si>
  <si>
    <t>INDPTC</t>
  </si>
  <si>
    <t>Lignite</t>
  </si>
  <si>
    <t>INDCO2??,AGRCO2??,-*b</t>
  </si>
  <si>
    <t>NetCO2_IND</t>
  </si>
  <si>
    <t>RESCOA</t>
  </si>
  <si>
    <t>Coke</t>
  </si>
  <si>
    <t>CO2Captured_ind</t>
  </si>
  <si>
    <t>RESHFO</t>
  </si>
  <si>
    <t>Other fuels</t>
  </si>
  <si>
    <t>RESKER</t>
  </si>
  <si>
    <t>Geothermal (average all generation)</t>
  </si>
  <si>
    <t>NA</t>
  </si>
  <si>
    <t>SUPCO2??,HH2CO2??,-*b</t>
  </si>
  <si>
    <t>NetCO2_SUP</t>
  </si>
  <si>
    <t>RESLPG</t>
  </si>
  <si>
    <t>Municiple Solid Waste</t>
  </si>
  <si>
    <t>*COM_AGG</t>
  </si>
  <si>
    <t>Tire-derived fuel</t>
  </si>
  <si>
    <t>CO2Captured_sup</t>
  </si>
  <si>
    <t>RESOIL</t>
  </si>
  <si>
    <t>Waste oil</t>
  </si>
  <si>
    <t>barrel</t>
  </si>
  <si>
    <t>SUPBFG</t>
  </si>
  <si>
    <t>Source: U.S. Energy Information Administration estimates.</t>
  </si>
  <si>
    <t>SUPBIO</t>
  </si>
  <si>
    <t>Note: To convert to carbon equivalents multiply by 12/44.</t>
  </si>
  <si>
    <t>COMCO2N?,RESCO2N?,-*b</t>
  </si>
  <si>
    <t>NetCO2_Bldg</t>
  </si>
  <si>
    <t>SUPCOA</t>
  </si>
  <si>
    <t>Coefficients may vary slightly with estimation method and across time.</t>
  </si>
  <si>
    <t>TRACO2N?</t>
  </si>
  <si>
    <t>NetCO2_TRA</t>
  </si>
  <si>
    <t>SUPCOG</t>
  </si>
  <si>
    <t>SUPNGA</t>
  </si>
  <si>
    <t>SUPOIL</t>
  </si>
  <si>
    <t>SUPRFG</t>
  </si>
  <si>
    <t>SUPRPP</t>
  </si>
  <si>
    <t>TRACOA</t>
  </si>
  <si>
    <t>ELCCO2Nc</t>
  </si>
  <si>
    <t>ELCCO2Nb</t>
  </si>
  <si>
    <t>ELCCO2Ng</t>
  </si>
  <si>
    <t>TRAHFO</t>
  </si>
  <si>
    <t>TRALPG</t>
  </si>
  <si>
    <t>oth_ind</t>
  </si>
  <si>
    <t>INDBIO</t>
  </si>
  <si>
    <t>*CCS*</t>
  </si>
  <si>
    <t>~TFM_INS-TS: limtype=LO;cset_set=ENV</t>
  </si>
  <si>
    <t>TFM_INS-TS: limtype=LO;cset_set=ENV</t>
  </si>
  <si>
    <t>~TFM_INS-AT</t>
  </si>
  <si>
    <t>ActiveReg</t>
  </si>
  <si>
    <t>kt CO2</t>
  </si>
  <si>
    <t>Region</t>
  </si>
  <si>
    <t>Africa_SS</t>
  </si>
  <si>
    <t>*net*</t>
  </si>
  <si>
    <t>USD20</t>
  </si>
  <si>
    <t>Asia_Dev</t>
  </si>
  <si>
    <t>Asia_Em</t>
  </si>
  <si>
    <t>Central_Europe</t>
  </si>
  <si>
    <t>China_d</t>
  </si>
  <si>
    <t>EIJLLPST</t>
  </si>
  <si>
    <t>France_Benelux</t>
  </si>
  <si>
    <t>GCC</t>
  </si>
  <si>
    <t>Germany_Denmark</t>
  </si>
  <si>
    <t>Great_Britain</t>
  </si>
  <si>
    <t>Iberia</t>
  </si>
  <si>
    <t>India_d</t>
  </si>
  <si>
    <t>IPS_UPS</t>
  </si>
  <si>
    <t>Iran_irq_tkm_arm</t>
  </si>
  <si>
    <t>Ireland_NI</t>
  </si>
  <si>
    <t>Italy_d</t>
  </si>
  <si>
    <t>Moldova_d</t>
  </si>
  <si>
    <t>Northwest_Africa</t>
  </si>
  <si>
    <t>Norway_Iceland</t>
  </si>
  <si>
    <t>Poland_d</t>
  </si>
  <si>
    <t>Western_Balkans</t>
  </si>
  <si>
    <t>Southeast_Europe</t>
  </si>
  <si>
    <t>Ukraine_d</t>
  </si>
  <si>
    <t>Turkey_d</t>
  </si>
  <si>
    <t>Switzerland_d</t>
  </si>
  <si>
    <t>Sweden_Finland</t>
  </si>
  <si>
    <t>UCT_car batteries cap</t>
  </si>
  <si>
    <t>TRDELC</t>
  </si>
  <si>
    <t>Tra_BEV_Batt_VtoG</t>
  </si>
  <si>
    <t>Trd_car</t>
  </si>
  <si>
    <t>Trd_lcv</t>
  </si>
  <si>
    <t>Trd_bus</t>
  </si>
  <si>
    <t>Trd_hdt</t>
  </si>
  <si>
    <t>Trd_2w</t>
  </si>
  <si>
    <t>Trd_3w</t>
  </si>
  <si>
    <t>UCT_car batteries cap - car</t>
  </si>
  <si>
    <t>STG</t>
  </si>
  <si>
    <t>Tra_EV*virgin_pack, Tra_EV*fromrecy, Tra_EV_Batt-Sodium_virgin_pack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</si>
</sst>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8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0.0%"/>
    <numFmt numFmtId="179" formatCode="_ * #,##0.00_ ;_ * \-#,##0.00_ ;_ * &quot;-&quot;??_ ;_ @_ "/>
    <numFmt numFmtId="180" formatCode="_-&quot;$&quot;* #,##0.00_-;\-&quot;$&quot;* #,##0.00_-;_-&quot;$&quot;* &quot;-&quot;??_-;_-@_-"/>
    <numFmt numFmtId="181" formatCode="m\o\n\th\ d\,\ yyyy"/>
    <numFmt numFmtId="182" formatCode="_([$€]* #,##0.00_);_([$€]* \(#,##0.00\);_([$€]* &quot;-&quot;??_);_(@_)"/>
    <numFmt numFmtId="183" formatCode="_([$€-2]* #,##0.00_);_([$€-2]* \(#,##0.00\);_([$€-2]* &quot;-&quot;??_)"/>
    <numFmt numFmtId="184" formatCode="_-[$€-2]\ * #,##0.00_-;\-[$€-2]\ * #,##0.00_-;_-[$€-2]\ * &quot;-&quot;??_-"/>
    <numFmt numFmtId="185" formatCode="_-[$€]* #,##0.00_-;\-[$€]* #,##0.00_-;_-[$€]* &quot;-&quot;??_-;_-@_-"/>
    <numFmt numFmtId="186" formatCode="_-&quot;€&quot;\ * #,##0.00_-;\-&quot;€&quot;\ * #,##0.00_-;_-&quot;€&quot;\ * &quot;-&quot;??_-;_-@_-"/>
    <numFmt numFmtId="187" formatCode="#.00"/>
    <numFmt numFmtId="188" formatCode="#."/>
    <numFmt numFmtId="189" formatCode="_-* #,##0.00\ _€_-;\-* #,##0.00\ _€_-;_-* &quot;-&quot;??\ _€_-;_-@_-"/>
    <numFmt numFmtId="190" formatCode="&quot;$&quot;#,##0_);\(&quot;$&quot;#,##0\)"/>
    <numFmt numFmtId="191" formatCode="General_)"/>
    <numFmt numFmtId="192" formatCode="\(##\);\(##\)"/>
    <numFmt numFmtId="193" formatCode="#,##0;\-\ #,##0;_-\ &quot;- &quot;"/>
    <numFmt numFmtId="194" formatCode="_ * #,##0_ ;_ * \-#,##0_ ;_ * &quot;-&quot;_ ;_ @_ "/>
    <numFmt numFmtId="195" formatCode="_ &quot;kr&quot;\ * #,##0_ ;_ &quot;kr&quot;\ * \-#,##0_ ;_ &quot;kr&quot;\ * &quot;-&quot;_ ;_ @_ "/>
    <numFmt numFmtId="196" formatCode="yyyy"/>
    <numFmt numFmtId="197" formatCode="#,##0.0"/>
    <numFmt numFmtId="198" formatCode="_ &quot;kr&quot;\ * #,##0.00_ ;_ &quot;kr&quot;\ * \-#,##0.00_ ;_ &quot;kr&quot;\ * &quot;-&quot;??_ ;_ @_ "/>
    <numFmt numFmtId="199" formatCode="0.00_);[Red]\(0.00\)"/>
    <numFmt numFmtId="200" formatCode="0.0000"/>
    <numFmt numFmtId="201" formatCode="0.0"/>
  </numFmts>
  <fonts count="85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9C5700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rgb="FF006100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0"/>
      <name val="Arial"/>
      <charset val="134"/>
    </font>
    <font>
      <b/>
      <i/>
      <sz val="10"/>
      <name val="Arial"/>
      <charset val="134"/>
    </font>
    <font>
      <b/>
      <sz val="10"/>
      <name val="Arial"/>
      <charset val="134"/>
    </font>
    <font>
      <b/>
      <sz val="10"/>
      <color indexed="12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9"/>
      <color indexed="8"/>
      <name val="Times New Roman"/>
      <charset val="134"/>
    </font>
    <font>
      <sz val="11"/>
      <color indexed="20"/>
      <name val="Calibri"/>
      <charset val="134"/>
    </font>
    <font>
      <sz val="11"/>
      <color rgb="FF9C0006"/>
      <name val="Calibri"/>
      <charset val="134"/>
      <scheme val="minor"/>
    </font>
    <font>
      <b/>
      <sz val="11"/>
      <color indexed="52"/>
      <name val="Calibri"/>
      <charset val="134"/>
    </font>
    <font>
      <b/>
      <sz val="11"/>
      <color indexed="10"/>
      <name val="Calibri"/>
      <charset val="134"/>
    </font>
    <font>
      <b/>
      <sz val="11"/>
      <color indexed="9"/>
      <name val="Calibri"/>
      <charset val="134"/>
    </font>
    <font>
      <sz val="10"/>
      <name val="MS Sans Serif"/>
      <charset val="134"/>
    </font>
    <font>
      <sz val="9"/>
      <name val="Times New Roman"/>
      <charset val="134"/>
    </font>
    <font>
      <sz val="1"/>
      <color indexed="8"/>
      <name val="Courier"/>
      <charset val="134"/>
    </font>
    <font>
      <sz val="10"/>
      <color indexed="56"/>
      <name val="Arial"/>
      <charset val="134"/>
    </font>
    <font>
      <i/>
      <sz val="8"/>
      <color indexed="3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b/>
      <sz val="1"/>
      <color indexed="8"/>
      <name val="Courier"/>
      <charset val="134"/>
    </font>
    <font>
      <u/>
      <sz val="10"/>
      <color indexed="12"/>
      <name val="Arial"/>
      <charset val="134"/>
    </font>
    <font>
      <sz val="11"/>
      <color indexed="62"/>
      <name val="Calibri"/>
      <charset val="134"/>
    </font>
    <font>
      <b/>
      <sz val="12"/>
      <name val="Times New Roman"/>
      <charset val="134"/>
    </font>
    <font>
      <sz val="11"/>
      <color indexed="52"/>
      <name val="Calibri"/>
      <charset val="134"/>
    </font>
    <font>
      <sz val="11"/>
      <color indexed="10"/>
      <name val="Calibri"/>
      <charset val="134"/>
    </font>
    <font>
      <sz val="11"/>
      <color indexed="60"/>
      <name val="Calibri"/>
      <charset val="134"/>
    </font>
    <font>
      <sz val="11"/>
      <color indexed="19"/>
      <name val="Calibri"/>
      <charset val="134"/>
    </font>
    <font>
      <sz val="11"/>
      <color indexed="60"/>
      <name val="Calibri"/>
      <charset val="161"/>
    </font>
    <font>
      <sz val="8"/>
      <name val="Helv"/>
      <charset val="134"/>
    </font>
    <font>
      <b/>
      <sz val="9"/>
      <name val="Times New Roman"/>
      <charset val="134"/>
    </font>
    <font>
      <sz val="10"/>
      <name val="Courier"/>
      <charset val="134"/>
    </font>
    <font>
      <b/>
      <vertAlign val="superscript"/>
      <sz val="12"/>
      <color indexed="54"/>
      <name val="Arial"/>
      <charset val="134"/>
    </font>
    <font>
      <b/>
      <sz val="11"/>
      <color indexed="63"/>
      <name val="Calibri"/>
      <charset val="134"/>
    </font>
    <font>
      <sz val="10"/>
      <name val="Helvetica"/>
      <charset val="134"/>
    </font>
    <font>
      <b/>
      <sz val="12"/>
      <name val="Arial"/>
      <charset val="134"/>
    </font>
    <font>
      <sz val="8"/>
      <color indexed="9"/>
      <name val="Arial"/>
      <charset val="134"/>
    </font>
    <font>
      <sz val="9"/>
      <name val="Verdana"/>
      <charset val="134"/>
    </font>
    <font>
      <i/>
      <sz val="9"/>
      <color indexed="60"/>
      <name val="Verdana"/>
      <charset val="134"/>
    </font>
    <font>
      <b/>
      <sz val="9"/>
      <name val="Verdana"/>
      <charset val="134"/>
    </font>
    <font>
      <b/>
      <sz val="9"/>
      <name val="Arial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u/>
      <sz val="12"/>
      <color indexed="20"/>
      <name val="宋体"/>
      <charset val="134"/>
    </font>
    <font>
      <sz val="9"/>
      <name val="Times New Roman"/>
      <charset val="0"/>
    </font>
    <font>
      <b/>
      <sz val="8"/>
      <name val="Tahoma"/>
      <charset val="134"/>
    </font>
    <font>
      <b/>
      <sz val="9"/>
      <name val="Tahoma"/>
      <charset val="1"/>
    </font>
    <font>
      <sz val="8"/>
      <name val="Tahoma"/>
      <charset val="134"/>
    </font>
    <font>
      <b/>
      <sz val="9"/>
      <name val="Tahoma"/>
      <charset val="134"/>
    </font>
    <font>
      <sz val="9"/>
      <name val="Tahoma"/>
      <charset val="134"/>
    </font>
    <font>
      <sz val="9"/>
      <name val="Tahoma"/>
      <charset val="1"/>
    </font>
    <font>
      <b/>
      <sz val="9"/>
      <name val="Times New Roman"/>
      <charset val="0"/>
    </font>
  </fonts>
  <fills count="7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mediumGray">
        <fgColor indexed="9"/>
        <bgColor indexed="52"/>
      </patternFill>
    </fill>
  </fills>
  <borders count="3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954222235786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3442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7" fillId="9" borderId="1" applyNumberFormat="0" applyAlignment="0" applyProtection="0"/>
    <xf numFmtId="0" fontId="23" fillId="17" borderId="7" applyNumberFormat="0" applyAlignment="0" applyProtection="0">
      <alignment vertical="center"/>
    </xf>
    <xf numFmtId="0" fontId="24" fillId="17" borderId="1" applyNumberFormat="0" applyAlignment="0" applyProtection="0">
      <alignment vertical="center"/>
    </xf>
    <xf numFmtId="0" fontId="25" fillId="18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5" fillId="7" borderId="0" applyNumberFormat="0" applyBorder="0" applyAlignment="0" applyProtection="0"/>
    <xf numFmtId="0" fontId="28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/>
    <xf numFmtId="0" fontId="29" fillId="4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43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49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9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15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15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51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51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48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8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15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15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2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52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14" fillId="0" borderId="0" applyNumberFormat="0" applyFont="0" applyFill="0" applyBorder="0" applyProtection="0">
      <alignment horizontal="left" vertical="center" indent="5"/>
    </xf>
    <xf numFmtId="0" fontId="14" fillId="0" borderId="0" applyNumberFormat="0" applyFont="0" applyFill="0" applyBorder="0" applyProtection="0">
      <alignment horizontal="left" vertical="center" indent="5"/>
    </xf>
    <xf numFmtId="0" fontId="14" fillId="0" borderId="0" applyNumberFormat="0" applyFont="0" applyFill="0" applyBorder="0" applyProtection="0">
      <alignment horizontal="left" vertical="center" indent="5"/>
    </xf>
    <xf numFmtId="0" fontId="14" fillId="0" borderId="0" applyNumberFormat="0" applyFont="0" applyFill="0" applyBorder="0" applyProtection="0">
      <alignment horizontal="left" vertical="center" indent="5"/>
    </xf>
    <xf numFmtId="0" fontId="32" fillId="53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3" borderId="0" applyNumberFormat="0" applyBorder="0" applyAlignment="0" applyProtection="0"/>
    <xf numFmtId="0" fontId="32" fillId="50" borderId="0" applyNumberFormat="0" applyBorder="0" applyAlignment="0" applyProtection="0"/>
    <xf numFmtId="0" fontId="32" fillId="45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45" borderId="0" applyNumberFormat="0" applyBorder="0" applyAlignment="0" applyProtection="0"/>
    <xf numFmtId="0" fontId="32" fillId="54" borderId="0" applyNumberFormat="0" applyBorder="0" applyAlignment="0" applyProtection="0"/>
    <xf numFmtId="0" fontId="32" fillId="51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1" borderId="0" applyNumberFormat="0" applyBorder="0" applyAlignment="0" applyProtection="0"/>
    <xf numFmtId="0" fontId="32" fillId="52" borderId="0" applyNumberFormat="0" applyBorder="0" applyAlignment="0" applyProtection="0"/>
    <xf numFmtId="0" fontId="32" fillId="55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55" borderId="0" applyNumberFormat="0" applyBorder="0" applyAlignment="0" applyProtection="0"/>
    <xf numFmtId="0" fontId="32" fillId="44" borderId="0" applyNumberFormat="0" applyBorder="0" applyAlignment="0" applyProtection="0"/>
    <xf numFmtId="0" fontId="32" fillId="56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6" borderId="0" applyNumberFormat="0" applyBorder="0" applyAlignment="0" applyProtection="0"/>
    <xf numFmtId="0" fontId="32" fillId="50" borderId="0" applyNumberFormat="0" applyBorder="0" applyAlignment="0" applyProtection="0"/>
    <xf numFmtId="0" fontId="32" fillId="57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57" borderId="0" applyNumberFormat="0" applyBorder="0" applyAlignment="0" applyProtection="0"/>
    <xf numFmtId="0" fontId="32" fillId="45" borderId="0" applyNumberFormat="0" applyBorder="0" applyAlignment="0" applyProtection="0"/>
    <xf numFmtId="0" fontId="32" fillId="58" borderId="0" applyNumberFormat="0" applyBorder="0" applyAlignment="0" applyProtection="0"/>
    <xf numFmtId="0" fontId="32" fillId="59" borderId="0" applyNumberFormat="0" applyBorder="0" applyAlignment="0" applyProtection="0"/>
    <xf numFmtId="0" fontId="32" fillId="59" borderId="0" applyNumberFormat="0" applyBorder="0" applyAlignment="0" applyProtection="0"/>
    <xf numFmtId="0" fontId="32" fillId="59" borderId="0" applyNumberFormat="0" applyBorder="0" applyAlignment="0" applyProtection="0"/>
    <xf numFmtId="0" fontId="32" fillId="59" borderId="0" applyNumberFormat="0" applyBorder="0" applyAlignment="0" applyProtection="0"/>
    <xf numFmtId="0" fontId="32" fillId="59" borderId="0" applyNumberFormat="0" applyBorder="0" applyAlignment="0" applyProtection="0"/>
    <xf numFmtId="0" fontId="32" fillId="59" borderId="0" applyNumberFormat="0" applyBorder="0" applyAlignment="0" applyProtection="0"/>
    <xf numFmtId="0" fontId="32" fillId="59" borderId="0" applyNumberFormat="0" applyBorder="0" applyAlignment="0" applyProtection="0"/>
    <xf numFmtId="0" fontId="32" fillId="59" borderId="0" applyNumberFormat="0" applyBorder="0" applyAlignment="0" applyProtection="0"/>
    <xf numFmtId="0" fontId="32" fillId="59" borderId="0" applyNumberFormat="0" applyBorder="0" applyAlignment="0" applyProtection="0"/>
    <xf numFmtId="0" fontId="32" fillId="58" borderId="0" applyNumberFormat="0" applyBorder="0" applyAlignment="0" applyProtection="0"/>
    <xf numFmtId="0" fontId="32" fillId="59" borderId="0" applyNumberFormat="0" applyBorder="0" applyAlignment="0" applyProtection="0"/>
    <xf numFmtId="0" fontId="32" fillId="60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60" borderId="0" applyNumberFormat="0" applyBorder="0" applyAlignment="0" applyProtection="0"/>
    <xf numFmtId="0" fontId="32" fillId="54" borderId="0" applyNumberFormat="0" applyBorder="0" applyAlignment="0" applyProtection="0"/>
    <xf numFmtId="0" fontId="32" fillId="61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61" borderId="0" applyNumberFormat="0" applyBorder="0" applyAlignment="0" applyProtection="0"/>
    <xf numFmtId="0" fontId="32" fillId="52" borderId="0" applyNumberFormat="0" applyBorder="0" applyAlignment="0" applyProtection="0"/>
    <xf numFmtId="0" fontId="32" fillId="55" borderId="0" applyNumberFormat="0" applyBorder="0" applyAlignment="0" applyProtection="0"/>
    <xf numFmtId="0" fontId="32" fillId="62" borderId="0" applyNumberFormat="0" applyBorder="0" applyAlignment="0" applyProtection="0"/>
    <xf numFmtId="0" fontId="32" fillId="62" borderId="0" applyNumberFormat="0" applyBorder="0" applyAlignment="0" applyProtection="0"/>
    <xf numFmtId="0" fontId="32" fillId="62" borderId="0" applyNumberFormat="0" applyBorder="0" applyAlignment="0" applyProtection="0"/>
    <xf numFmtId="0" fontId="32" fillId="62" borderId="0" applyNumberFormat="0" applyBorder="0" applyAlignment="0" applyProtection="0"/>
    <xf numFmtId="0" fontId="32" fillId="62" borderId="0" applyNumberFormat="0" applyBorder="0" applyAlignment="0" applyProtection="0"/>
    <xf numFmtId="0" fontId="32" fillId="62" borderId="0" applyNumberFormat="0" applyBorder="0" applyAlignment="0" applyProtection="0"/>
    <xf numFmtId="0" fontId="32" fillId="62" borderId="0" applyNumberFormat="0" applyBorder="0" applyAlignment="0" applyProtection="0"/>
    <xf numFmtId="0" fontId="32" fillId="62" borderId="0" applyNumberFormat="0" applyBorder="0" applyAlignment="0" applyProtection="0"/>
    <xf numFmtId="0" fontId="32" fillId="62" borderId="0" applyNumberFormat="0" applyBorder="0" applyAlignment="0" applyProtection="0"/>
    <xf numFmtId="0" fontId="32" fillId="55" borderId="0" applyNumberFormat="0" applyBorder="0" applyAlignment="0" applyProtection="0"/>
    <xf numFmtId="0" fontId="32" fillId="62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4" borderId="0" applyNumberFormat="0" applyBorder="0" applyAlignment="0" applyProtection="0"/>
    <xf numFmtId="0" fontId="32" fillId="60" borderId="0" applyNumberFormat="0" applyBorder="0" applyAlignment="0" applyProtection="0"/>
    <xf numFmtId="0" fontId="32" fillId="60" borderId="0" applyNumberFormat="0" applyBorder="0" applyAlignment="0" applyProtection="0"/>
    <xf numFmtId="0" fontId="32" fillId="60" borderId="0" applyNumberFormat="0" applyBorder="0" applyAlignment="0" applyProtection="0"/>
    <xf numFmtId="0" fontId="32" fillId="60" borderId="0" applyNumberFormat="0" applyBorder="0" applyAlignment="0" applyProtection="0"/>
    <xf numFmtId="0" fontId="32" fillId="60" borderId="0" applyNumberFormat="0" applyBorder="0" applyAlignment="0" applyProtection="0"/>
    <xf numFmtId="0" fontId="32" fillId="60" borderId="0" applyNumberFormat="0" applyBorder="0" applyAlignment="0" applyProtection="0"/>
    <xf numFmtId="0" fontId="32" fillId="60" borderId="0" applyNumberFormat="0" applyBorder="0" applyAlignment="0" applyProtection="0"/>
    <xf numFmtId="0" fontId="32" fillId="60" borderId="0" applyNumberFormat="0" applyBorder="0" applyAlignment="0" applyProtection="0"/>
    <xf numFmtId="0" fontId="32" fillId="60" borderId="0" applyNumberFormat="0" applyBorder="0" applyAlignment="0" applyProtection="0"/>
    <xf numFmtId="0" fontId="32" fillId="54" borderId="0" applyNumberFormat="0" applyBorder="0" applyAlignment="0" applyProtection="0"/>
    <xf numFmtId="0" fontId="32" fillId="60" borderId="0" applyNumberFormat="0" applyBorder="0" applyAlignment="0" applyProtection="0"/>
    <xf numFmtId="4" fontId="33" fillId="49" borderId="11">
      <alignment horizontal="right" vertical="center"/>
    </xf>
    <xf numFmtId="4" fontId="33" fillId="49" borderId="11">
      <alignment horizontal="right" vertical="center"/>
    </xf>
    <xf numFmtId="0" fontId="34" fillId="44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4" borderId="0" applyNumberFormat="0" applyBorder="0" applyAlignment="0" applyProtection="0"/>
    <xf numFmtId="0" fontId="34" fillId="48" borderId="0" applyNumberFormat="0" applyBorder="0" applyAlignment="0" applyProtection="0"/>
    <xf numFmtId="0" fontId="35" fillId="19" borderId="0" applyNumberFormat="0" applyBorder="0" applyAlignment="0" applyProtection="0"/>
    <xf numFmtId="0" fontId="36" fillId="63" borderId="12" applyNumberFormat="0" applyAlignment="0" applyProtection="0"/>
    <xf numFmtId="0" fontId="37" fillId="64" borderId="12" applyNumberFormat="0" applyAlignment="0" applyProtection="0"/>
    <xf numFmtId="0" fontId="37" fillId="64" borderId="12" applyNumberFormat="0" applyAlignment="0" applyProtection="0"/>
    <xf numFmtId="0" fontId="37" fillId="64" borderId="12" applyNumberFormat="0" applyAlignment="0" applyProtection="0"/>
    <xf numFmtId="0" fontId="37" fillId="64" borderId="12" applyNumberFormat="0" applyAlignment="0" applyProtection="0"/>
    <xf numFmtId="0" fontId="37" fillId="64" borderId="12" applyNumberFormat="0" applyAlignment="0" applyProtection="0"/>
    <xf numFmtId="0" fontId="37" fillId="64" borderId="12" applyNumberFormat="0" applyAlignment="0" applyProtection="0"/>
    <xf numFmtId="0" fontId="37" fillId="64" borderId="12" applyNumberFormat="0" applyAlignment="0" applyProtection="0"/>
    <xf numFmtId="0" fontId="37" fillId="64" borderId="12" applyNumberFormat="0" applyAlignment="0" applyProtection="0"/>
    <xf numFmtId="0" fontId="37" fillId="64" borderId="12" applyNumberFormat="0" applyAlignment="0" applyProtection="0"/>
    <xf numFmtId="0" fontId="36" fillId="63" borderId="12" applyNumberFormat="0" applyAlignment="0" applyProtection="0"/>
    <xf numFmtId="0" fontId="37" fillId="64" borderId="12" applyNumberFormat="0" applyAlignment="0" applyProtection="0"/>
    <xf numFmtId="0" fontId="38" fillId="65" borderId="13" applyNumberFormat="0" applyAlignment="0" applyProtection="0"/>
    <xf numFmtId="0" fontId="38" fillId="65" borderId="13" applyNumberFormat="0" applyAlignment="0" applyProtection="0"/>
    <xf numFmtId="0" fontId="38" fillId="65" borderId="13" applyNumberFormat="0" applyAlignment="0" applyProtection="0"/>
    <xf numFmtId="0" fontId="38" fillId="65" borderId="13" applyNumberFormat="0" applyAlignment="0" applyProtection="0"/>
    <xf numFmtId="0" fontId="38" fillId="65" borderId="13" applyNumberFormat="0" applyAlignment="0" applyProtection="0"/>
    <xf numFmtId="0" fontId="38" fillId="65" borderId="13" applyNumberFormat="0" applyAlignment="0" applyProtection="0"/>
    <xf numFmtId="0" fontId="38" fillId="65" borderId="13" applyNumberFormat="0" applyAlignment="0" applyProtection="0"/>
    <xf numFmtId="0" fontId="38" fillId="65" borderId="13" applyNumberFormat="0" applyAlignment="0" applyProtection="0"/>
    <xf numFmtId="0" fontId="38" fillId="65" borderId="13" applyNumberFormat="0" applyAlignment="0" applyProtection="0"/>
    <xf numFmtId="0" fontId="38" fillId="65" borderId="13" applyNumberFormat="0" applyAlignment="0" applyProtection="0"/>
    <xf numFmtId="0" fontId="38" fillId="65" borderId="13" applyNumberFormat="0" applyAlignment="0" applyProtection="0"/>
    <xf numFmtId="49" fontId="14" fillId="50" borderId="14">
      <alignment vertical="top" wrapText="1"/>
    </xf>
    <xf numFmtId="49" fontId="14" fillId="50" borderId="14">
      <alignment vertical="top" wrapText="1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0" fontId="3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0" fontId="39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0" fontId="40" fillId="0" borderId="15">
      <alignment horizontal="left" vertical="center" wrapText="1" indent="2"/>
    </xf>
    <xf numFmtId="181" fontId="41" fillId="0" borderId="0">
      <protection locked="0"/>
    </xf>
    <xf numFmtId="181" fontId="41" fillId="0" borderId="0">
      <protection locked="0"/>
    </xf>
    <xf numFmtId="3" fontId="42" fillId="0" borderId="14">
      <alignment horizontal="right" vertical="top"/>
    </xf>
    <xf numFmtId="0" fontId="16" fillId="56" borderId="11">
      <alignment horizontal="centerContinuous" vertical="top" wrapText="1"/>
    </xf>
    <xf numFmtId="0" fontId="43" fillId="0" borderId="0">
      <alignment vertical="top" wrapText="1"/>
    </xf>
    <xf numFmtId="182" fontId="14" fillId="0" borderId="0" applyFont="0" applyFill="0" applyBorder="0" applyAlignment="0" applyProtection="0"/>
    <xf numFmtId="182" fontId="14" fillId="0" borderId="0" applyFont="0" applyFill="0" applyBorder="0" applyAlignment="0" applyProtection="0"/>
    <xf numFmtId="183" fontId="14" fillId="0" borderId="0" applyFont="0" applyFill="0" applyBorder="0" applyAlignment="0" applyProtection="0"/>
    <xf numFmtId="183" fontId="14" fillId="0" borderId="0" applyFont="0" applyFill="0" applyBorder="0" applyAlignment="0" applyProtection="0"/>
    <xf numFmtId="183" fontId="14" fillId="0" borderId="0" applyFont="0" applyFill="0" applyBorder="0" applyAlignment="0" applyProtection="0"/>
    <xf numFmtId="183" fontId="14" fillId="0" borderId="0" applyFont="0" applyFill="0" applyBorder="0" applyAlignment="0" applyProtection="0"/>
    <xf numFmtId="183" fontId="14" fillId="0" borderId="0" applyFont="0" applyFill="0" applyBorder="0" applyAlignment="0" applyProtection="0"/>
    <xf numFmtId="183" fontId="14" fillId="0" borderId="0" applyFont="0" applyFill="0" applyBorder="0" applyAlignment="0" applyProtection="0"/>
    <xf numFmtId="183" fontId="14" fillId="0" borderId="0" applyFont="0" applyFill="0" applyBorder="0" applyAlignment="0" applyProtection="0"/>
    <xf numFmtId="183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3" fontId="14" fillId="0" borderId="0" applyFont="0" applyFill="0" applyBorder="0" applyAlignment="0" applyProtection="0"/>
    <xf numFmtId="182" fontId="14" fillId="0" borderId="0" applyFont="0" applyFill="0" applyBorder="0" applyAlignment="0" applyProtection="0"/>
    <xf numFmtId="182" fontId="14" fillId="0" borderId="0" applyFont="0" applyFill="0" applyBorder="0" applyAlignment="0" applyProtection="0"/>
    <xf numFmtId="185" fontId="14" fillId="0" borderId="0" applyFont="0" applyFill="0" applyBorder="0" applyAlignment="0" applyProtection="0"/>
    <xf numFmtId="186" fontId="14" fillId="0" borderId="0" applyFont="0" applyFill="0" applyBorder="0" applyAlignment="0" applyProtection="0"/>
    <xf numFmtId="186" fontId="14" fillId="0" borderId="0" applyFont="0" applyFill="0" applyBorder="0" applyAlignment="0" applyProtection="0"/>
    <xf numFmtId="182" fontId="14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87" fontId="41" fillId="0" borderId="0">
      <protection locked="0"/>
    </xf>
    <xf numFmtId="187" fontId="41" fillId="0" borderId="0">
      <protection locked="0"/>
    </xf>
    <xf numFmtId="11" fontId="14" fillId="0" borderId="0" applyFont="0" applyFill="0" applyBorder="0" applyAlignment="0" applyProtection="0"/>
    <xf numFmtId="11" fontId="14" fillId="0" borderId="0" applyFont="0" applyFill="0" applyBorder="0" applyAlignment="0" applyProtection="0"/>
    <xf numFmtId="0" fontId="45" fillId="46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46" borderId="0" applyNumberFormat="0" applyBorder="0" applyAlignment="0" applyProtection="0"/>
    <xf numFmtId="0" fontId="45" fillId="50" borderId="0" applyNumberFormat="0" applyBorder="0" applyAlignment="0" applyProtection="0"/>
    <xf numFmtId="0" fontId="5" fillId="7" borderId="0" applyNumberFormat="0" applyBorder="0" applyAlignment="0" applyProtection="0"/>
    <xf numFmtId="0" fontId="46" fillId="0" borderId="16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6" fillId="0" borderId="16" applyNumberFormat="0" applyFill="0" applyAlignment="0" applyProtection="0"/>
    <xf numFmtId="0" fontId="47" fillId="0" borderId="17" applyNumberFormat="0" applyFill="0" applyAlignment="0" applyProtection="0"/>
    <xf numFmtId="0" fontId="48" fillId="0" borderId="18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8" fillId="0" borderId="18" applyNumberFormat="0" applyFill="0" applyAlignment="0" applyProtection="0"/>
    <xf numFmtId="0" fontId="49" fillId="0" borderId="19" applyNumberFormat="0" applyFill="0" applyAlignment="0" applyProtection="0"/>
    <xf numFmtId="0" fontId="9" fillId="0" borderId="20" applyNumberFormat="0" applyFill="0" applyAlignment="0" applyProtection="0"/>
    <xf numFmtId="0" fontId="50" fillId="0" borderId="21" applyNumberFormat="0" applyFill="0" applyAlignment="0" applyProtection="0"/>
    <xf numFmtId="0" fontId="51" fillId="0" borderId="22" applyNumberFormat="0" applyFill="0" applyAlignment="0" applyProtection="0"/>
    <xf numFmtId="0" fontId="51" fillId="0" borderId="22" applyNumberFormat="0" applyFill="0" applyAlignment="0" applyProtection="0"/>
    <xf numFmtId="0" fontId="51" fillId="0" borderId="22" applyNumberFormat="0" applyFill="0" applyAlignment="0" applyProtection="0"/>
    <xf numFmtId="0" fontId="51" fillId="0" borderId="22" applyNumberFormat="0" applyFill="0" applyAlignment="0" applyProtection="0"/>
    <xf numFmtId="0" fontId="51" fillId="0" borderId="22" applyNumberFormat="0" applyFill="0" applyAlignment="0" applyProtection="0"/>
    <xf numFmtId="0" fontId="51" fillId="0" borderId="22" applyNumberFormat="0" applyFill="0" applyAlignment="0" applyProtection="0"/>
    <xf numFmtId="0" fontId="51" fillId="0" borderId="22" applyNumberFormat="0" applyFill="0" applyAlignment="0" applyProtection="0"/>
    <xf numFmtId="0" fontId="51" fillId="0" borderId="22" applyNumberFormat="0" applyFill="0" applyAlignment="0" applyProtection="0"/>
    <xf numFmtId="0" fontId="51" fillId="0" borderId="22" applyNumberFormat="0" applyFill="0" applyAlignment="0" applyProtection="0"/>
    <xf numFmtId="0" fontId="50" fillId="0" borderId="21" applyNumberFormat="0" applyFill="0" applyAlignment="0" applyProtection="0"/>
    <xf numFmtId="0" fontId="51" fillId="0" borderId="22" applyNumberFormat="0" applyFill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88" fontId="52" fillId="0" borderId="0">
      <protection locked="0"/>
    </xf>
    <xf numFmtId="188" fontId="52" fillId="0" borderId="0">
      <protection locked="0"/>
    </xf>
    <xf numFmtId="188" fontId="52" fillId="0" borderId="0">
      <protection locked="0"/>
    </xf>
    <xf numFmtId="188" fontId="52" fillId="0" borderId="0"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4" fillId="49" borderId="12" applyNumberFormat="0" applyAlignment="0" applyProtection="0"/>
    <xf numFmtId="0" fontId="54" fillId="14" borderId="12" applyNumberFormat="0" applyAlignment="0" applyProtection="0"/>
    <xf numFmtId="0" fontId="54" fillId="14" borderId="12" applyNumberFormat="0" applyAlignment="0" applyProtection="0"/>
    <xf numFmtId="0" fontId="54" fillId="14" borderId="12" applyNumberFormat="0" applyAlignment="0" applyProtection="0"/>
    <xf numFmtId="0" fontId="54" fillId="14" borderId="12" applyNumberFormat="0" applyAlignment="0" applyProtection="0"/>
    <xf numFmtId="0" fontId="54" fillId="14" borderId="12" applyNumberFormat="0" applyAlignment="0" applyProtection="0"/>
    <xf numFmtId="0" fontId="54" fillId="14" borderId="12" applyNumberFormat="0" applyAlignment="0" applyProtection="0"/>
    <xf numFmtId="0" fontId="54" fillId="14" borderId="12" applyNumberFormat="0" applyAlignment="0" applyProtection="0"/>
    <xf numFmtId="0" fontId="54" fillId="14" borderId="12" applyNumberFormat="0" applyAlignment="0" applyProtection="0"/>
    <xf numFmtId="0" fontId="54" fillId="14" borderId="12" applyNumberFormat="0" applyAlignment="0" applyProtection="0"/>
    <xf numFmtId="0" fontId="54" fillId="49" borderId="12" applyNumberFormat="0" applyAlignment="0" applyProtection="0"/>
    <xf numFmtId="0" fontId="54" fillId="14" borderId="12" applyNumberFormat="0" applyAlignment="0" applyProtection="0"/>
    <xf numFmtId="0" fontId="7" fillId="9" borderId="1" applyNumberFormat="0" applyAlignment="0" applyProtection="0"/>
    <xf numFmtId="4" fontId="40" fillId="0" borderId="0" applyBorder="0">
      <alignment horizontal="right" vertical="center"/>
    </xf>
    <xf numFmtId="0" fontId="55" fillId="0" borderId="0"/>
    <xf numFmtId="0" fontId="56" fillId="0" borderId="23" applyNumberFormat="0" applyFill="0" applyAlignment="0" applyProtection="0"/>
    <xf numFmtId="0" fontId="57" fillId="0" borderId="24" applyNumberFormat="0" applyFill="0" applyAlignment="0" applyProtection="0"/>
    <xf numFmtId="0" fontId="57" fillId="0" borderId="24" applyNumberFormat="0" applyFill="0" applyAlignment="0" applyProtection="0"/>
    <xf numFmtId="0" fontId="57" fillId="0" borderId="24" applyNumberFormat="0" applyFill="0" applyAlignment="0" applyProtection="0"/>
    <xf numFmtId="0" fontId="57" fillId="0" borderId="24" applyNumberFormat="0" applyFill="0" applyAlignment="0" applyProtection="0"/>
    <xf numFmtId="0" fontId="57" fillId="0" borderId="24" applyNumberFormat="0" applyFill="0" applyAlignment="0" applyProtection="0"/>
    <xf numFmtId="0" fontId="57" fillId="0" borderId="24" applyNumberFormat="0" applyFill="0" applyAlignment="0" applyProtection="0"/>
    <xf numFmtId="0" fontId="57" fillId="0" borderId="24" applyNumberFormat="0" applyFill="0" applyAlignment="0" applyProtection="0"/>
    <xf numFmtId="0" fontId="57" fillId="0" borderId="24" applyNumberFormat="0" applyFill="0" applyAlignment="0" applyProtection="0"/>
    <xf numFmtId="0" fontId="57" fillId="0" borderId="24" applyNumberFormat="0" applyFill="0" applyAlignment="0" applyProtection="0"/>
    <xf numFmtId="0" fontId="56" fillId="0" borderId="23" applyNumberFormat="0" applyFill="0" applyAlignment="0" applyProtection="0"/>
    <xf numFmtId="0" fontId="57" fillId="0" borderId="24" applyNumberFormat="0" applyFill="0" applyAlignment="0" applyProtection="0"/>
    <xf numFmtId="189" fontId="14" fillId="0" borderId="0" applyFont="0" applyFill="0" applyBorder="0" applyAlignment="0" applyProtection="0"/>
    <xf numFmtId="0" fontId="58" fillId="14" borderId="0" applyNumberFormat="0" applyBorder="0" applyAlignment="0" applyProtection="0"/>
    <xf numFmtId="0" fontId="59" fillId="14" borderId="0" applyNumberFormat="0" applyBorder="0" applyAlignment="0" applyProtection="0"/>
    <xf numFmtId="0" fontId="59" fillId="14" borderId="0" applyNumberFormat="0" applyBorder="0" applyAlignment="0" applyProtection="0"/>
    <xf numFmtId="0" fontId="59" fillId="14" borderId="0" applyNumberFormat="0" applyBorder="0" applyAlignment="0" applyProtection="0"/>
    <xf numFmtId="0" fontId="59" fillId="14" borderId="0" applyNumberFormat="0" applyBorder="0" applyAlignment="0" applyProtection="0"/>
    <xf numFmtId="0" fontId="59" fillId="14" borderId="0" applyNumberFormat="0" applyBorder="0" applyAlignment="0" applyProtection="0"/>
    <xf numFmtId="0" fontId="59" fillId="14" borderId="0" applyNumberFormat="0" applyBorder="0" applyAlignment="0" applyProtection="0"/>
    <xf numFmtId="0" fontId="59" fillId="14" borderId="0" applyNumberFormat="0" applyBorder="0" applyAlignment="0" applyProtection="0"/>
    <xf numFmtId="0" fontId="59" fillId="14" borderId="0" applyNumberFormat="0" applyBorder="0" applyAlignment="0" applyProtection="0"/>
    <xf numFmtId="0" fontId="59" fillId="14" borderId="0" applyNumberFormat="0" applyBorder="0" applyAlignment="0" applyProtection="0"/>
    <xf numFmtId="0" fontId="60" fillId="14" borderId="0" applyNumberFormat="0" applyBorder="0" applyAlignment="0" applyProtection="0"/>
    <xf numFmtId="0" fontId="59" fillId="14" borderId="0" applyNumberFormat="0" applyBorder="0" applyAlignment="0" applyProtection="0"/>
    <xf numFmtId="0" fontId="58" fillId="14" borderId="0" applyNumberFormat="0" applyBorder="0" applyAlignment="0" applyProtection="0"/>
    <xf numFmtId="0" fontId="4" fillId="6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0" fontId="61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0" fontId="61" fillId="0" borderId="0">
      <alignment vertical="center"/>
    </xf>
    <xf numFmtId="190" fontId="61" fillId="0" borderId="0">
      <alignment vertical="center"/>
    </xf>
    <xf numFmtId="190" fontId="61" fillId="0" borderId="0">
      <alignment vertical="center"/>
    </xf>
    <xf numFmtId="190" fontId="61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0" fontId="61" fillId="0" borderId="0">
      <alignment vertical="center"/>
    </xf>
    <xf numFmtId="190" fontId="61" fillId="0" borderId="0">
      <alignment vertical="center"/>
    </xf>
    <xf numFmtId="190" fontId="61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0" fontId="61" fillId="0" borderId="0">
      <alignment vertical="center"/>
    </xf>
    <xf numFmtId="190" fontId="61" fillId="0" borderId="0">
      <alignment vertical="center"/>
    </xf>
    <xf numFmtId="190" fontId="61" fillId="0" borderId="0">
      <alignment vertical="center"/>
    </xf>
    <xf numFmtId="190" fontId="61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8" fontId="61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4" fillId="0" borderId="0"/>
    <xf numFmtId="0" fontId="1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8" fontId="61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4" fillId="0" borderId="0"/>
    <xf numFmtId="0" fontId="1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4" fillId="0" borderId="0"/>
    <xf numFmtId="0" fontId="1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1" fillId="0" borderId="0"/>
    <xf numFmtId="0" fontId="14" fillId="0" borderId="0"/>
    <xf numFmtId="0" fontId="14" fillId="0" borderId="0"/>
    <xf numFmtId="0" fontId="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91" fontId="61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4" fillId="0" borderId="0"/>
    <xf numFmtId="0" fontId="14" fillId="0" borderId="0"/>
    <xf numFmtId="0" fontId="3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0" fillId="0" borderId="0"/>
    <xf numFmtId="0" fontId="31" fillId="0" borderId="0"/>
    <xf numFmtId="0" fontId="14" fillId="0" borderId="0"/>
    <xf numFmtId="0" fontId="1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4" fillId="0" borderId="0"/>
    <xf numFmtId="0" fontId="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4" fillId="0" borderId="0"/>
    <xf numFmtId="0" fontId="1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4" fillId="0" borderId="0"/>
    <xf numFmtId="0" fontId="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4" fillId="0" borderId="0"/>
    <xf numFmtId="0" fontId="1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" fontId="40" fillId="0" borderId="11" applyFill="0" applyBorder="0" applyProtection="0">
      <alignment horizontal="right" vertical="center"/>
    </xf>
    <xf numFmtId="0" fontId="62" fillId="0" borderId="0" applyNumberFormat="0" applyFill="0" applyBorder="0" applyProtection="0">
      <alignment horizontal="left" vertical="center"/>
    </xf>
    <xf numFmtId="0" fontId="14" fillId="65" borderId="0" applyNumberFormat="0" applyFont="0" applyBorder="0" applyAlignment="0" applyProtection="0"/>
    <xf numFmtId="0" fontId="14" fillId="65" borderId="0" applyNumberFormat="0" applyFont="0" applyBorder="0" applyAlignment="0" applyProtection="0"/>
    <xf numFmtId="0" fontId="14" fillId="65" borderId="0" applyNumberFormat="0" applyFont="0" applyBorder="0" applyAlignment="0" applyProtection="0"/>
    <xf numFmtId="0" fontId="14" fillId="65" borderId="0" applyNumberFormat="0" applyFont="0" applyBorder="0" applyAlignment="0" applyProtection="0"/>
    <xf numFmtId="0" fontId="63" fillId="0" borderId="0"/>
    <xf numFmtId="0" fontId="31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31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31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0" fontId="14" fillId="47" borderId="25" applyNumberFormat="0" applyFont="0" applyAlignment="0" applyProtection="0"/>
    <xf numFmtId="192" fontId="64" fillId="0" borderId="0">
      <alignment horizontal="right"/>
    </xf>
    <xf numFmtId="193" fontId="14" fillId="0" borderId="0" applyFont="0" applyFill="0" applyBorder="0" applyAlignment="0" applyProtection="0"/>
    <xf numFmtId="193" fontId="14" fillId="0" borderId="0" applyFont="0" applyFill="0" applyBorder="0" applyAlignment="0" applyProtection="0"/>
    <xf numFmtId="0" fontId="65" fillId="63" borderId="26" applyNumberFormat="0" applyAlignment="0" applyProtection="0"/>
    <xf numFmtId="0" fontId="65" fillId="64" borderId="26" applyNumberFormat="0" applyAlignment="0" applyProtection="0"/>
    <xf numFmtId="0" fontId="65" fillId="64" borderId="26" applyNumberFormat="0" applyAlignment="0" applyProtection="0"/>
    <xf numFmtId="0" fontId="65" fillId="64" borderId="26" applyNumberFormat="0" applyAlignment="0" applyProtection="0"/>
    <xf numFmtId="0" fontId="65" fillId="64" borderId="26" applyNumberFormat="0" applyAlignment="0" applyProtection="0"/>
    <xf numFmtId="0" fontId="65" fillId="64" borderId="26" applyNumberFormat="0" applyAlignment="0" applyProtection="0"/>
    <xf numFmtId="0" fontId="65" fillId="64" borderId="26" applyNumberFormat="0" applyAlignment="0" applyProtection="0"/>
    <xf numFmtId="0" fontId="65" fillId="64" borderId="26" applyNumberFormat="0" applyAlignment="0" applyProtection="0"/>
    <xf numFmtId="0" fontId="65" fillId="64" borderId="26" applyNumberFormat="0" applyAlignment="0" applyProtection="0"/>
    <xf numFmtId="0" fontId="65" fillId="64" borderId="26" applyNumberFormat="0" applyAlignment="0" applyProtection="0"/>
    <xf numFmtId="0" fontId="65" fillId="63" borderId="26" applyNumberFormat="0" applyAlignment="0" applyProtection="0"/>
    <xf numFmtId="0" fontId="65" fillId="64" borderId="26" applyNumberFormat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179" fontId="66" fillId="0" borderId="0" applyFont="0" applyFill="0" applyBorder="0" applyAlignment="0" applyProtection="0"/>
    <xf numFmtId="194" fontId="66" fillId="0" borderId="0" applyFont="0" applyFill="0" applyBorder="0" applyAlignment="0" applyProtection="0"/>
    <xf numFmtId="195" fontId="66" fillId="0" borderId="0" applyFont="0" applyFill="0" applyBorder="0" applyAlignment="0" applyProtection="0"/>
    <xf numFmtId="0" fontId="43" fillId="0" borderId="0">
      <alignment vertical="top" wrapText="1"/>
    </xf>
    <xf numFmtId="0" fontId="14" fillId="0" borderId="0"/>
    <xf numFmtId="0" fontId="14" fillId="0" borderId="11" applyNumberFormat="0" applyFill="0" applyProtection="0">
      <alignment horizontal="right"/>
    </xf>
    <xf numFmtId="0" fontId="14" fillId="0" borderId="11" applyNumberFormat="0" applyFill="0" applyProtection="0">
      <alignment horizontal="right"/>
    </xf>
    <xf numFmtId="0" fontId="16" fillId="66" borderId="11" applyNumberFormat="0" applyProtection="0">
      <alignment horizontal="right"/>
    </xf>
    <xf numFmtId="0" fontId="67" fillId="66" borderId="0" applyNumberFormat="0" applyBorder="0" applyProtection="0">
      <alignment horizontal="left"/>
    </xf>
    <xf numFmtId="0" fontId="16" fillId="66" borderId="11" applyNumberFormat="0" applyProtection="0">
      <alignment horizontal="left"/>
    </xf>
    <xf numFmtId="0" fontId="14" fillId="0" borderId="11" applyNumberFormat="0" applyFill="0" applyProtection="0">
      <alignment horizontal="right"/>
    </xf>
    <xf numFmtId="0" fontId="14" fillId="0" borderId="11" applyNumberFormat="0" applyFill="0" applyProtection="0">
      <alignment horizontal="right"/>
    </xf>
    <xf numFmtId="0" fontId="68" fillId="58" borderId="0" applyNumberFormat="0" applyBorder="0" applyProtection="0">
      <alignment horizontal="left"/>
    </xf>
    <xf numFmtId="196" fontId="14" fillId="0" borderId="0" applyFill="0" applyBorder="0" applyAlignment="0" applyProtection="0">
      <alignment wrapText="1"/>
    </xf>
    <xf numFmtId="196" fontId="14" fillId="0" borderId="0" applyFill="0" applyBorder="0" applyAlignment="0" applyProtection="0">
      <alignment wrapText="1"/>
    </xf>
    <xf numFmtId="196" fontId="14" fillId="0" borderId="0" applyFill="0" applyBorder="0" applyAlignment="0" applyProtection="0">
      <alignment wrapText="1"/>
    </xf>
    <xf numFmtId="196" fontId="14" fillId="0" borderId="0" applyFill="0" applyBorder="0" applyAlignment="0" applyProtection="0">
      <alignment wrapText="1"/>
    </xf>
    <xf numFmtId="0" fontId="16" fillId="0" borderId="0" applyNumberFormat="0" applyFill="0" applyBorder="0">
      <alignment horizontal="center" wrapText="1"/>
    </xf>
    <xf numFmtId="0" fontId="16" fillId="0" borderId="0" applyNumberFormat="0" applyFill="0" applyBorder="0">
      <alignment horizontal="center" wrapText="1"/>
    </xf>
    <xf numFmtId="0" fontId="16" fillId="0" borderId="0" applyNumberFormat="0" applyFill="0" applyBorder="0">
      <alignment horizontal="center" wrapText="1"/>
    </xf>
    <xf numFmtId="0" fontId="16" fillId="0" borderId="0" applyNumberFormat="0" applyFill="0" applyBorder="0">
      <alignment horizontal="center" wrapText="1"/>
    </xf>
    <xf numFmtId="197" fontId="69" fillId="67" borderId="27">
      <alignment vertical="center"/>
    </xf>
    <xf numFmtId="178" fontId="70" fillId="67" borderId="27">
      <alignment vertical="center"/>
    </xf>
    <xf numFmtId="197" fontId="71" fillId="68" borderId="27">
      <alignment vertical="center"/>
    </xf>
    <xf numFmtId="0" fontId="14" fillId="69" borderId="28" applyBorder="0">
      <alignment horizontal="left" vertical="center"/>
    </xf>
    <xf numFmtId="0" fontId="14" fillId="69" borderId="28" applyBorder="0">
      <alignment horizontal="left" vertical="center"/>
    </xf>
    <xf numFmtId="49" fontId="14" fillId="70" borderId="11">
      <alignment vertical="center" wrapText="1"/>
    </xf>
    <xf numFmtId="49" fontId="14" fillId="70" borderId="11">
      <alignment vertical="center" wrapText="1"/>
    </xf>
    <xf numFmtId="0" fontId="14" fillId="71" borderId="29">
      <alignment horizontal="left" vertical="center" wrapText="1"/>
    </xf>
    <xf numFmtId="0" fontId="14" fillId="71" borderId="29">
      <alignment horizontal="left" vertical="center" wrapText="1"/>
    </xf>
    <xf numFmtId="0" fontId="72" fillId="72" borderId="11">
      <alignment horizontal="left" vertical="center" wrapText="1"/>
    </xf>
    <xf numFmtId="0" fontId="14" fillId="57" borderId="11">
      <alignment horizontal="left" vertical="center" wrapText="1"/>
    </xf>
    <xf numFmtId="0" fontId="14" fillId="57" borderId="11">
      <alignment horizontal="left" vertical="center" wrapText="1"/>
    </xf>
    <xf numFmtId="0" fontId="14" fillId="73" borderId="11">
      <alignment horizontal="left" vertical="center" wrapText="1"/>
    </xf>
    <xf numFmtId="0" fontId="14" fillId="73" borderId="11">
      <alignment horizontal="left" vertical="center" wrapText="1"/>
    </xf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30" applyNumberFormat="0" applyFill="0" applyAlignment="0" applyProtection="0"/>
    <xf numFmtId="0" fontId="75" fillId="0" borderId="31" applyNumberFormat="0" applyFill="0" applyAlignment="0" applyProtection="0"/>
    <xf numFmtId="0" fontId="75" fillId="0" borderId="31" applyNumberFormat="0" applyFill="0" applyAlignment="0" applyProtection="0"/>
    <xf numFmtId="0" fontId="75" fillId="0" borderId="31" applyNumberFormat="0" applyFill="0" applyAlignment="0" applyProtection="0"/>
    <xf numFmtId="0" fontId="75" fillId="0" borderId="31" applyNumberFormat="0" applyFill="0" applyAlignment="0" applyProtection="0"/>
    <xf numFmtId="0" fontId="75" fillId="0" borderId="31" applyNumberFormat="0" applyFill="0" applyAlignment="0" applyProtection="0"/>
    <xf numFmtId="0" fontId="75" fillId="0" borderId="31" applyNumberFormat="0" applyFill="0" applyAlignment="0" applyProtection="0"/>
    <xf numFmtId="0" fontId="75" fillId="0" borderId="31" applyNumberFormat="0" applyFill="0" applyAlignment="0" applyProtection="0"/>
    <xf numFmtId="0" fontId="75" fillId="0" borderId="31" applyNumberFormat="0" applyFill="0" applyAlignment="0" applyProtection="0"/>
    <xf numFmtId="0" fontId="75" fillId="0" borderId="31" applyNumberFormat="0" applyFill="0" applyAlignment="0" applyProtection="0"/>
    <xf numFmtId="0" fontId="75" fillId="0" borderId="30" applyNumberFormat="0" applyFill="0" applyAlignment="0" applyProtection="0"/>
    <xf numFmtId="0" fontId="75" fillId="0" borderId="31" applyNumberFormat="0" applyFill="0" applyAlignment="0" applyProtection="0"/>
    <xf numFmtId="198" fontId="66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4" fontId="40" fillId="0" borderId="0"/>
    <xf numFmtId="0" fontId="76" fillId="0" borderId="0" applyNumberFormat="0" applyFill="0" applyBorder="0" applyAlignment="0" applyProtection="0">
      <alignment vertical="center"/>
    </xf>
  </cellStyleXfs>
  <cellXfs count="51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2" fillId="0" borderId="0" xfId="0" applyFont="1"/>
    <xf numFmtId="0" fontId="0" fillId="4" borderId="0" xfId="0" applyFill="1"/>
    <xf numFmtId="1" fontId="0" fillId="0" borderId="0" xfId="0" applyNumberFormat="1"/>
    <xf numFmtId="2" fontId="0" fillId="0" borderId="0" xfId="0" applyNumberFormat="1"/>
    <xf numFmtId="1" fontId="0" fillId="4" borderId="0" xfId="0" applyNumberFormat="1" applyFill="1"/>
    <xf numFmtId="2" fontId="0" fillId="4" borderId="0" xfId="0" applyNumberFormat="1" applyFill="1"/>
    <xf numFmtId="0" fontId="0" fillId="5" borderId="0" xfId="0" applyFill="1"/>
    <xf numFmtId="0" fontId="3" fillId="6" borderId="0" xfId="24" applyFont="1"/>
    <xf numFmtId="0" fontId="4" fillId="6" borderId="0" xfId="24"/>
    <xf numFmtId="0" fontId="5" fillId="7" borderId="0" xfId="22"/>
    <xf numFmtId="4" fontId="5" fillId="7" borderId="0" xfId="22" applyNumberFormat="1"/>
    <xf numFmtId="0" fontId="6" fillId="8" borderId="0" xfId="0" applyFont="1" applyFill="1"/>
    <xf numFmtId="199" fontId="6" fillId="8" borderId="0" xfId="0" applyNumberFormat="1" applyFont="1" applyFill="1"/>
    <xf numFmtId="0" fontId="7" fillId="9" borderId="1" xfId="16"/>
    <xf numFmtId="0" fontId="0" fillId="8" borderId="0" xfId="0" applyFill="1"/>
    <xf numFmtId="0" fontId="8" fillId="0" borderId="0" xfId="0" applyFont="1"/>
    <xf numFmtId="0" fontId="9" fillId="0" borderId="2" xfId="13"/>
    <xf numFmtId="0" fontId="10" fillId="0" borderId="3" xfId="14"/>
    <xf numFmtId="0" fontId="11" fillId="10" borderId="0" xfId="0" applyFont="1" applyFill="1"/>
    <xf numFmtId="9" fontId="0" fillId="0" borderId="0" xfId="3" applyFont="1"/>
    <xf numFmtId="0" fontId="0" fillId="11" borderId="0" xfId="0" applyFill="1"/>
    <xf numFmtId="9" fontId="0" fillId="0" borderId="0" xfId="0" applyNumberFormat="1"/>
    <xf numFmtId="9" fontId="0" fillId="11" borderId="0" xfId="0" applyNumberFormat="1" applyFill="1"/>
    <xf numFmtId="9" fontId="0" fillId="12" borderId="0" xfId="0" applyNumberFormat="1" applyFill="1"/>
    <xf numFmtId="9" fontId="0" fillId="13" borderId="0" xfId="0" applyNumberFormat="1" applyFill="1"/>
    <xf numFmtId="200" fontId="0" fillId="0" borderId="0" xfId="0" applyNumberFormat="1"/>
    <xf numFmtId="9" fontId="12" fillId="0" borderId="0" xfId="0" applyNumberFormat="1" applyFont="1"/>
    <xf numFmtId="9" fontId="2" fillId="0" borderId="0" xfId="3" applyFont="1"/>
    <xf numFmtId="9" fontId="8" fillId="0" borderId="0" xfId="0" applyNumberFormat="1" applyFont="1"/>
    <xf numFmtId="0" fontId="0" fillId="0" borderId="0" xfId="0" applyAlignment="1">
      <alignment wrapText="1"/>
    </xf>
    <xf numFmtId="0" fontId="13" fillId="0" borderId="0" xfId="6" applyAlignment="1"/>
    <xf numFmtId="0" fontId="14" fillId="0" borderId="0" xfId="1755"/>
    <xf numFmtId="0" fontId="14" fillId="11" borderId="0" xfId="1755" applyFill="1"/>
    <xf numFmtId="0" fontId="15" fillId="0" borderId="0" xfId="1755" applyFont="1"/>
    <xf numFmtId="0" fontId="16" fillId="0" borderId="0" xfId="1755" applyFont="1"/>
    <xf numFmtId="11" fontId="0" fillId="0" borderId="0" xfId="0" applyNumberFormat="1"/>
    <xf numFmtId="0" fontId="17" fillId="0" borderId="0" xfId="0" applyFont="1"/>
    <xf numFmtId="0" fontId="16" fillId="14" borderId="4" xfId="0" applyFont="1" applyFill="1" applyBorder="1"/>
    <xf numFmtId="0" fontId="16" fillId="15" borderId="4" xfId="0" applyFont="1" applyFill="1" applyBorder="1"/>
    <xf numFmtId="0" fontId="12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4" fillId="14" borderId="4" xfId="0" applyFont="1" applyFill="1" applyBorder="1"/>
    <xf numFmtId="201" fontId="2" fillId="0" borderId="0" xfId="0" applyNumberFormat="1" applyFont="1"/>
    <xf numFmtId="0" fontId="0" fillId="12" borderId="0" xfId="0" applyFill="1"/>
    <xf numFmtId="0" fontId="10" fillId="12" borderId="0" xfId="15" applyFill="1"/>
    <xf numFmtId="0" fontId="12" fillId="12" borderId="0" xfId="0" applyFont="1" applyFill="1"/>
    <xf numFmtId="0" fontId="0" fillId="0" borderId="0" xfId="0" quotePrefix="1"/>
    <xf numFmtId="0" fontId="14" fillId="0" borderId="0" xfId="1755" quotePrefix="1"/>
  </cellXfs>
  <cellStyles count="344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2" xfId="49"/>
    <cellStyle name="20% - Accent1 2 10" xfId="50"/>
    <cellStyle name="20% - Accent1 2 11" xfId="51"/>
    <cellStyle name="20% - Accent1 2 12" xfId="52"/>
    <cellStyle name="20% - Accent1 2 13" xfId="53"/>
    <cellStyle name="20% - Accent1 2 14" xfId="54"/>
    <cellStyle name="20% - Accent1 2 15" xfId="55"/>
    <cellStyle name="20% - Accent1 2 2" xfId="56"/>
    <cellStyle name="20% - Accent1 2 3" xfId="57"/>
    <cellStyle name="20% - Accent1 2 4" xfId="58"/>
    <cellStyle name="20% - Accent1 2 5" xfId="59"/>
    <cellStyle name="20% - Accent1 2 6" xfId="60"/>
    <cellStyle name="20% - Accent1 2 7" xfId="61"/>
    <cellStyle name="20% - Accent1 2 8" xfId="62"/>
    <cellStyle name="20% - Accent1 2 9" xfId="63"/>
    <cellStyle name="20% - Accent1 3" xfId="64"/>
    <cellStyle name="20% - Accent1 3 2" xfId="65"/>
    <cellStyle name="20% - Accent1 4" xfId="66"/>
    <cellStyle name="20% - Accent1 5" xfId="67"/>
    <cellStyle name="20% - Accent1 6" xfId="68"/>
    <cellStyle name="20% - Accent1 7" xfId="69"/>
    <cellStyle name="20% - Accent1 8" xfId="70"/>
    <cellStyle name="20% - Accent2 2" xfId="71"/>
    <cellStyle name="20% - Accent2 2 10" xfId="72"/>
    <cellStyle name="20% - Accent2 2 11" xfId="73"/>
    <cellStyle name="20% - Accent2 2 12" xfId="74"/>
    <cellStyle name="20% - Accent2 2 13" xfId="75"/>
    <cellStyle name="20% - Accent2 2 14" xfId="76"/>
    <cellStyle name="20% - Accent2 2 15" xfId="77"/>
    <cellStyle name="20% - Accent2 2 2" xfId="78"/>
    <cellStyle name="20% - Accent2 2 3" xfId="79"/>
    <cellStyle name="20% - Accent2 2 4" xfId="80"/>
    <cellStyle name="20% - Accent2 2 5" xfId="81"/>
    <cellStyle name="20% - Accent2 2 6" xfId="82"/>
    <cellStyle name="20% - Accent2 2 7" xfId="83"/>
    <cellStyle name="20% - Accent2 2 8" xfId="84"/>
    <cellStyle name="20% - Accent2 2 9" xfId="85"/>
    <cellStyle name="20% - Accent2 3" xfId="86"/>
    <cellStyle name="20% - Accent2 3 2" xfId="87"/>
    <cellStyle name="20% - Accent2 4" xfId="88"/>
    <cellStyle name="20% - Accent2 5" xfId="89"/>
    <cellStyle name="20% - Accent2 6" xfId="90"/>
    <cellStyle name="20% - Accent2 7" xfId="91"/>
    <cellStyle name="20% - Accent2 8" xfId="92"/>
    <cellStyle name="20% - Accent3 2" xfId="93"/>
    <cellStyle name="20% - Accent3 2 10" xfId="94"/>
    <cellStyle name="20% - Accent3 2 11" xfId="95"/>
    <cellStyle name="20% - Accent3 2 12" xfId="96"/>
    <cellStyle name="20% - Accent3 2 13" xfId="97"/>
    <cellStyle name="20% - Accent3 2 14" xfId="98"/>
    <cellStyle name="20% - Accent3 2 15" xfId="99"/>
    <cellStyle name="20% - Accent3 2 2" xfId="100"/>
    <cellStyle name="20% - Accent3 2 3" xfId="101"/>
    <cellStyle name="20% - Accent3 2 4" xfId="102"/>
    <cellStyle name="20% - Accent3 2 5" xfId="103"/>
    <cellStyle name="20% - Accent3 2 6" xfId="104"/>
    <cellStyle name="20% - Accent3 2 7" xfId="105"/>
    <cellStyle name="20% - Accent3 2 8" xfId="106"/>
    <cellStyle name="20% - Accent3 2 9" xfId="107"/>
    <cellStyle name="20% - Accent3 3" xfId="108"/>
    <cellStyle name="20% - Accent3 3 2" xfId="109"/>
    <cellStyle name="20% - Accent3 4" xfId="110"/>
    <cellStyle name="20% - Accent3 5" xfId="111"/>
    <cellStyle name="20% - Accent3 6" xfId="112"/>
    <cellStyle name="20% - Accent3 7" xfId="113"/>
    <cellStyle name="20% - Accent3 8" xfId="114"/>
    <cellStyle name="20% - Accent4 2" xfId="115"/>
    <cellStyle name="20% - Accent4 2 10" xfId="116"/>
    <cellStyle name="20% - Accent4 2 11" xfId="117"/>
    <cellStyle name="20% - Accent4 2 12" xfId="118"/>
    <cellStyle name="20% - Accent4 2 13" xfId="119"/>
    <cellStyle name="20% - Accent4 2 14" xfId="120"/>
    <cellStyle name="20% - Accent4 2 15" xfId="121"/>
    <cellStyle name="20% - Accent4 2 2" xfId="122"/>
    <cellStyle name="20% - Accent4 2 3" xfId="123"/>
    <cellStyle name="20% - Accent4 2 4" xfId="124"/>
    <cellStyle name="20% - Accent4 2 5" xfId="125"/>
    <cellStyle name="20% - Accent4 2 6" xfId="126"/>
    <cellStyle name="20% - Accent4 2 7" xfId="127"/>
    <cellStyle name="20% - Accent4 2 8" xfId="128"/>
    <cellStyle name="20% - Accent4 2 9" xfId="129"/>
    <cellStyle name="20% - Accent4 3" xfId="130"/>
    <cellStyle name="20% - Accent4 3 2" xfId="131"/>
    <cellStyle name="20% - Accent4 4" xfId="132"/>
    <cellStyle name="20% - Accent4 5" xfId="133"/>
    <cellStyle name="20% - Accent4 6" xfId="134"/>
    <cellStyle name="20% - Accent4 7" xfId="135"/>
    <cellStyle name="20% - Accent4 8" xfId="136"/>
    <cellStyle name="20% - Accent5 2" xfId="137"/>
    <cellStyle name="20% - Accent5 2 10" xfId="138"/>
    <cellStyle name="20% - Accent5 2 11" xfId="139"/>
    <cellStyle name="20% - Accent5 2 12" xfId="140"/>
    <cellStyle name="20% - Accent5 2 13" xfId="141"/>
    <cellStyle name="20% - Accent5 2 14" xfId="142"/>
    <cellStyle name="20% - Accent5 2 15" xfId="143"/>
    <cellStyle name="20% - Accent5 2 2" xfId="144"/>
    <cellStyle name="20% - Accent5 2 3" xfId="145"/>
    <cellStyle name="20% - Accent5 2 4" xfId="146"/>
    <cellStyle name="20% - Accent5 2 5" xfId="147"/>
    <cellStyle name="20% - Accent5 2 6" xfId="148"/>
    <cellStyle name="20% - Accent5 2 7" xfId="149"/>
    <cellStyle name="20% - Accent5 2 8" xfId="150"/>
    <cellStyle name="20% - Accent5 2 9" xfId="151"/>
    <cellStyle name="20% - Accent5 3" xfId="152"/>
    <cellStyle name="20% - Accent5 4" xfId="153"/>
    <cellStyle name="20% - Accent5 5" xfId="154"/>
    <cellStyle name="20% - Accent5 6" xfId="155"/>
    <cellStyle name="20% - Accent5 7" xfId="156"/>
    <cellStyle name="20% - Accent5 8" xfId="157"/>
    <cellStyle name="20% - Accent6 2" xfId="158"/>
    <cellStyle name="20% - Accent6 2 10" xfId="159"/>
    <cellStyle name="20% - Accent6 2 11" xfId="160"/>
    <cellStyle name="20% - Accent6 2 12" xfId="161"/>
    <cellStyle name="20% - Accent6 2 13" xfId="162"/>
    <cellStyle name="20% - Accent6 2 14" xfId="163"/>
    <cellStyle name="20% - Accent6 2 15" xfId="164"/>
    <cellStyle name="20% - Accent6 2 2" xfId="165"/>
    <cellStyle name="20% - Accent6 2 3" xfId="166"/>
    <cellStyle name="20% - Accent6 2 4" xfId="167"/>
    <cellStyle name="20% - Accent6 2 5" xfId="168"/>
    <cellStyle name="20% - Accent6 2 6" xfId="169"/>
    <cellStyle name="20% - Accent6 2 7" xfId="170"/>
    <cellStyle name="20% - Accent6 2 8" xfId="171"/>
    <cellStyle name="20% - Accent6 2 9" xfId="172"/>
    <cellStyle name="20% - Accent6 3" xfId="173"/>
    <cellStyle name="20% - Accent6 3 2" xfId="174"/>
    <cellStyle name="20% - Accent6 4" xfId="175"/>
    <cellStyle name="20% - Accent6 5" xfId="176"/>
    <cellStyle name="20% - Accent6 6" xfId="177"/>
    <cellStyle name="20% - Accent6 7" xfId="178"/>
    <cellStyle name="20% - Accent6 8" xfId="179"/>
    <cellStyle name="40% - Accent1 2" xfId="180"/>
    <cellStyle name="40% - Accent1 2 10" xfId="181"/>
    <cellStyle name="40% - Accent1 2 11" xfId="182"/>
    <cellStyle name="40% - Accent1 2 12" xfId="183"/>
    <cellStyle name="40% - Accent1 2 13" xfId="184"/>
    <cellStyle name="40% - Accent1 2 14" xfId="185"/>
    <cellStyle name="40% - Accent1 2 15" xfId="186"/>
    <cellStyle name="40% - Accent1 2 2" xfId="187"/>
    <cellStyle name="40% - Accent1 2 3" xfId="188"/>
    <cellStyle name="40% - Accent1 2 4" xfId="189"/>
    <cellStyle name="40% - Accent1 2 5" xfId="190"/>
    <cellStyle name="40% - Accent1 2 6" xfId="191"/>
    <cellStyle name="40% - Accent1 2 7" xfId="192"/>
    <cellStyle name="40% - Accent1 2 8" xfId="193"/>
    <cellStyle name="40% - Accent1 2 9" xfId="194"/>
    <cellStyle name="40% - Accent1 3" xfId="195"/>
    <cellStyle name="40% - Accent1 3 2" xfId="196"/>
    <cellStyle name="40% - Accent1 4" xfId="197"/>
    <cellStyle name="40% - Accent1 5" xfId="198"/>
    <cellStyle name="40% - Accent1 6" xfId="199"/>
    <cellStyle name="40% - Accent1 7" xfId="200"/>
    <cellStyle name="40% - Accent1 8" xfId="201"/>
    <cellStyle name="40% - Accent2 2" xfId="202"/>
    <cellStyle name="40% - Accent2 2 10" xfId="203"/>
    <cellStyle name="40% - Accent2 2 11" xfId="204"/>
    <cellStyle name="40% - Accent2 2 12" xfId="205"/>
    <cellStyle name="40% - Accent2 2 13" xfId="206"/>
    <cellStyle name="40% - Accent2 2 14" xfId="207"/>
    <cellStyle name="40% - Accent2 2 15" xfId="208"/>
    <cellStyle name="40% - Accent2 2 2" xfId="209"/>
    <cellStyle name="40% - Accent2 2 3" xfId="210"/>
    <cellStyle name="40% - Accent2 2 4" xfId="211"/>
    <cellStyle name="40% - Accent2 2 5" xfId="212"/>
    <cellStyle name="40% - Accent2 2 6" xfId="213"/>
    <cellStyle name="40% - Accent2 2 7" xfId="214"/>
    <cellStyle name="40% - Accent2 2 8" xfId="215"/>
    <cellStyle name="40% - Accent2 2 9" xfId="216"/>
    <cellStyle name="40% - Accent2 3" xfId="217"/>
    <cellStyle name="40% - Accent2 4" xfId="218"/>
    <cellStyle name="40% - Accent2 5" xfId="219"/>
    <cellStyle name="40% - Accent2 6" xfId="220"/>
    <cellStyle name="40% - Accent2 7" xfId="221"/>
    <cellStyle name="40% - Accent2 8" xfId="222"/>
    <cellStyle name="40% - Accent3 2" xfId="223"/>
    <cellStyle name="40% - Accent3 2 10" xfId="224"/>
    <cellStyle name="40% - Accent3 2 11" xfId="225"/>
    <cellStyle name="40% - Accent3 2 12" xfId="226"/>
    <cellStyle name="40% - Accent3 2 13" xfId="227"/>
    <cellStyle name="40% - Accent3 2 14" xfId="228"/>
    <cellStyle name="40% - Accent3 2 15" xfId="229"/>
    <cellStyle name="40% - Accent3 2 2" xfId="230"/>
    <cellStyle name="40% - Accent3 2 3" xfId="231"/>
    <cellStyle name="40% - Accent3 2 4" xfId="232"/>
    <cellStyle name="40% - Accent3 2 5" xfId="233"/>
    <cellStyle name="40% - Accent3 2 6" xfId="234"/>
    <cellStyle name="40% - Accent3 2 7" xfId="235"/>
    <cellStyle name="40% - Accent3 2 8" xfId="236"/>
    <cellStyle name="40% - Accent3 2 9" xfId="237"/>
    <cellStyle name="40% - Accent3 3" xfId="238"/>
    <cellStyle name="40% - Accent3 3 2" xfId="239"/>
    <cellStyle name="40% - Accent3 4" xfId="240"/>
    <cellStyle name="40% - Accent3 5" xfId="241"/>
    <cellStyle name="40% - Accent3 6" xfId="242"/>
    <cellStyle name="40% - Accent3 7" xfId="243"/>
    <cellStyle name="40% - Accent3 8" xfId="244"/>
    <cellStyle name="40% - Accent4 2" xfId="245"/>
    <cellStyle name="40% - Accent4 2 10" xfId="246"/>
    <cellStyle name="40% - Accent4 2 11" xfId="247"/>
    <cellStyle name="40% - Accent4 2 12" xfId="248"/>
    <cellStyle name="40% - Accent4 2 13" xfId="249"/>
    <cellStyle name="40% - Accent4 2 14" xfId="250"/>
    <cellStyle name="40% - Accent4 2 15" xfId="251"/>
    <cellStyle name="40% - Accent4 2 2" xfId="252"/>
    <cellStyle name="40% - Accent4 2 3" xfId="253"/>
    <cellStyle name="40% - Accent4 2 4" xfId="254"/>
    <cellStyle name="40% - Accent4 2 5" xfId="255"/>
    <cellStyle name="40% - Accent4 2 6" xfId="256"/>
    <cellStyle name="40% - Accent4 2 7" xfId="257"/>
    <cellStyle name="40% - Accent4 2 8" xfId="258"/>
    <cellStyle name="40% - Accent4 2 9" xfId="259"/>
    <cellStyle name="40% - Accent4 3" xfId="260"/>
    <cellStyle name="40% - Accent4 3 2" xfId="261"/>
    <cellStyle name="40% - Accent4 4" xfId="262"/>
    <cellStyle name="40% - Accent4 5" xfId="263"/>
    <cellStyle name="40% - Accent4 6" xfId="264"/>
    <cellStyle name="40% - Accent4 7" xfId="265"/>
    <cellStyle name="40% - Accent4 8" xfId="266"/>
    <cellStyle name="40% - Accent5 2" xfId="267"/>
    <cellStyle name="40% - Accent5 2 10" xfId="268"/>
    <cellStyle name="40% - Accent5 2 11" xfId="269"/>
    <cellStyle name="40% - Accent5 2 12" xfId="270"/>
    <cellStyle name="40% - Accent5 2 13" xfId="271"/>
    <cellStyle name="40% - Accent5 2 14" xfId="272"/>
    <cellStyle name="40% - Accent5 2 15" xfId="273"/>
    <cellStyle name="40% - Accent5 2 2" xfId="274"/>
    <cellStyle name="40% - Accent5 2 3" xfId="275"/>
    <cellStyle name="40% - Accent5 2 4" xfId="276"/>
    <cellStyle name="40% - Accent5 2 5" xfId="277"/>
    <cellStyle name="40% - Accent5 2 6" xfId="278"/>
    <cellStyle name="40% - Accent5 2 7" xfId="279"/>
    <cellStyle name="40% - Accent5 2 8" xfId="280"/>
    <cellStyle name="40% - Accent5 2 9" xfId="281"/>
    <cellStyle name="40% - Accent5 3" xfId="282"/>
    <cellStyle name="40% - Accent5 3 2" xfId="283"/>
    <cellStyle name="40% - Accent5 4" xfId="284"/>
    <cellStyle name="40% - Accent5 5" xfId="285"/>
    <cellStyle name="40% - Accent5 6" xfId="286"/>
    <cellStyle name="40% - Accent5 7" xfId="287"/>
    <cellStyle name="40% - Accent5 8" xfId="288"/>
    <cellStyle name="40% - Accent6 2" xfId="289"/>
    <cellStyle name="40% - Accent6 2 10" xfId="290"/>
    <cellStyle name="40% - Accent6 2 11" xfId="291"/>
    <cellStyle name="40% - Accent6 2 12" xfId="292"/>
    <cellStyle name="40% - Accent6 2 13" xfId="293"/>
    <cellStyle name="40% - Accent6 2 14" xfId="294"/>
    <cellStyle name="40% - Accent6 2 15" xfId="295"/>
    <cellStyle name="40% - Accent6 2 2" xfId="296"/>
    <cellStyle name="40% - Accent6 2 3" xfId="297"/>
    <cellStyle name="40% - Accent6 2 4" xfId="298"/>
    <cellStyle name="40% - Accent6 2 5" xfId="299"/>
    <cellStyle name="40% - Accent6 2 6" xfId="300"/>
    <cellStyle name="40% - Accent6 2 7" xfId="301"/>
    <cellStyle name="40% - Accent6 2 8" xfId="302"/>
    <cellStyle name="40% - Accent6 2 9" xfId="303"/>
    <cellStyle name="40% - Accent6 3" xfId="304"/>
    <cellStyle name="40% - Accent6 3 2" xfId="305"/>
    <cellStyle name="40% - Accent6 4" xfId="306"/>
    <cellStyle name="40% - Accent6 5" xfId="307"/>
    <cellStyle name="40% - Accent6 6" xfId="308"/>
    <cellStyle name="40% - Accent6 7" xfId="309"/>
    <cellStyle name="40% - Accent6 8" xfId="310"/>
    <cellStyle name="5x indented GHG Textfiels" xfId="311"/>
    <cellStyle name="5x indented GHG Textfiels 2" xfId="312"/>
    <cellStyle name="5x indented GHG Textfiels 2 2" xfId="313"/>
    <cellStyle name="5x indented GHG Textfiels 3" xfId="314"/>
    <cellStyle name="60% - Accent1 2" xfId="315"/>
    <cellStyle name="60% - Accent1 2 10" xfId="316"/>
    <cellStyle name="60% - Accent1 2 2" xfId="317"/>
    <cellStyle name="60% - Accent1 2 3" xfId="318"/>
    <cellStyle name="60% - Accent1 2 4" xfId="319"/>
    <cellStyle name="60% - Accent1 2 5" xfId="320"/>
    <cellStyle name="60% - Accent1 2 6" xfId="321"/>
    <cellStyle name="60% - Accent1 2 7" xfId="322"/>
    <cellStyle name="60% - Accent1 2 8" xfId="323"/>
    <cellStyle name="60% - Accent1 2 9" xfId="324"/>
    <cellStyle name="60% - Accent1 3" xfId="325"/>
    <cellStyle name="60% - Accent1 3 2" xfId="326"/>
    <cellStyle name="60% - Accent2 2" xfId="327"/>
    <cellStyle name="60% - Accent2 2 10" xfId="328"/>
    <cellStyle name="60% - Accent2 2 2" xfId="329"/>
    <cellStyle name="60% - Accent2 2 3" xfId="330"/>
    <cellStyle name="60% - Accent2 2 4" xfId="331"/>
    <cellStyle name="60% - Accent2 2 5" xfId="332"/>
    <cellStyle name="60% - Accent2 2 6" xfId="333"/>
    <cellStyle name="60% - Accent2 2 7" xfId="334"/>
    <cellStyle name="60% - Accent2 2 8" xfId="335"/>
    <cellStyle name="60% - Accent2 2 9" xfId="336"/>
    <cellStyle name="60% - Accent2 3" xfId="337"/>
    <cellStyle name="60% - Accent2 3 2" xfId="338"/>
    <cellStyle name="60% - Accent3 2" xfId="339"/>
    <cellStyle name="60% - Accent3 2 10" xfId="340"/>
    <cellStyle name="60% - Accent3 2 2" xfId="341"/>
    <cellStyle name="60% - Accent3 2 3" xfId="342"/>
    <cellStyle name="60% - Accent3 2 4" xfId="343"/>
    <cellStyle name="60% - Accent3 2 5" xfId="344"/>
    <cellStyle name="60% - Accent3 2 6" xfId="345"/>
    <cellStyle name="60% - Accent3 2 7" xfId="346"/>
    <cellStyle name="60% - Accent3 2 8" xfId="347"/>
    <cellStyle name="60% - Accent3 2 9" xfId="348"/>
    <cellStyle name="60% - Accent3 3" xfId="349"/>
    <cellStyle name="60% - Accent3 3 2" xfId="350"/>
    <cellStyle name="60% - Accent4 2" xfId="351"/>
    <cellStyle name="60% - Accent4 2 10" xfId="352"/>
    <cellStyle name="60% - Accent4 2 2" xfId="353"/>
    <cellStyle name="60% - Accent4 2 3" xfId="354"/>
    <cellStyle name="60% - Accent4 2 4" xfId="355"/>
    <cellStyle name="60% - Accent4 2 5" xfId="356"/>
    <cellStyle name="60% - Accent4 2 6" xfId="357"/>
    <cellStyle name="60% - Accent4 2 7" xfId="358"/>
    <cellStyle name="60% - Accent4 2 8" xfId="359"/>
    <cellStyle name="60% - Accent4 2 9" xfId="360"/>
    <cellStyle name="60% - Accent4 3" xfId="361"/>
    <cellStyle name="60% - Accent4 3 2" xfId="362"/>
    <cellStyle name="60% - Accent5 2" xfId="363"/>
    <cellStyle name="60% - Accent5 2 10" xfId="364"/>
    <cellStyle name="60% - Accent5 2 2" xfId="365"/>
    <cellStyle name="60% - Accent5 2 3" xfId="366"/>
    <cellStyle name="60% - Accent5 2 4" xfId="367"/>
    <cellStyle name="60% - Accent5 2 5" xfId="368"/>
    <cellStyle name="60% - Accent5 2 6" xfId="369"/>
    <cellStyle name="60% - Accent5 2 7" xfId="370"/>
    <cellStyle name="60% - Accent5 2 8" xfId="371"/>
    <cellStyle name="60% - Accent5 2 9" xfId="372"/>
    <cellStyle name="60% - Accent5 3" xfId="373"/>
    <cellStyle name="60% - Accent5 3 2" xfId="374"/>
    <cellStyle name="60% - Accent6 2" xfId="375"/>
    <cellStyle name="60% - Accent6 2 10" xfId="376"/>
    <cellStyle name="60% - Accent6 2 2" xfId="377"/>
    <cellStyle name="60% - Accent6 2 3" xfId="378"/>
    <cellStyle name="60% - Accent6 2 4" xfId="379"/>
    <cellStyle name="60% - Accent6 2 5" xfId="380"/>
    <cellStyle name="60% - Accent6 2 6" xfId="381"/>
    <cellStyle name="60% - Accent6 2 7" xfId="382"/>
    <cellStyle name="60% - Accent6 2 8" xfId="383"/>
    <cellStyle name="60% - Accent6 2 9" xfId="384"/>
    <cellStyle name="60% - Accent6 3" xfId="385"/>
    <cellStyle name="60% - Accent6 3 2" xfId="386"/>
    <cellStyle name="Accent1 2" xfId="387"/>
    <cellStyle name="Accent1 2 10" xfId="388"/>
    <cellStyle name="Accent1 2 2" xfId="389"/>
    <cellStyle name="Accent1 2 3" xfId="390"/>
    <cellStyle name="Accent1 2 4" xfId="391"/>
    <cellStyle name="Accent1 2 5" xfId="392"/>
    <cellStyle name="Accent1 2 6" xfId="393"/>
    <cellStyle name="Accent1 2 7" xfId="394"/>
    <cellStyle name="Accent1 2 8" xfId="395"/>
    <cellStyle name="Accent1 2 9" xfId="396"/>
    <cellStyle name="Accent1 3" xfId="397"/>
    <cellStyle name="Accent1 3 2" xfId="398"/>
    <cellStyle name="Accent2 2" xfId="399"/>
    <cellStyle name="Accent2 2 10" xfId="400"/>
    <cellStyle name="Accent2 2 2" xfId="401"/>
    <cellStyle name="Accent2 2 3" xfId="402"/>
    <cellStyle name="Accent2 2 4" xfId="403"/>
    <cellStyle name="Accent2 2 5" xfId="404"/>
    <cellStyle name="Accent2 2 6" xfId="405"/>
    <cellStyle name="Accent2 2 7" xfId="406"/>
    <cellStyle name="Accent2 2 8" xfId="407"/>
    <cellStyle name="Accent2 2 9" xfId="408"/>
    <cellStyle name="Accent2 3" xfId="409"/>
    <cellStyle name="Accent2 3 2" xfId="410"/>
    <cellStyle name="Accent3 2" xfId="411"/>
    <cellStyle name="Accent3 2 10" xfId="412"/>
    <cellStyle name="Accent3 2 2" xfId="413"/>
    <cellStyle name="Accent3 2 3" xfId="414"/>
    <cellStyle name="Accent3 2 4" xfId="415"/>
    <cellStyle name="Accent3 2 5" xfId="416"/>
    <cellStyle name="Accent3 2 6" xfId="417"/>
    <cellStyle name="Accent3 2 7" xfId="418"/>
    <cellStyle name="Accent3 2 8" xfId="419"/>
    <cellStyle name="Accent3 2 9" xfId="420"/>
    <cellStyle name="Accent3 3" xfId="421"/>
    <cellStyle name="Accent3 3 2" xfId="422"/>
    <cellStyle name="Accent4 2" xfId="423"/>
    <cellStyle name="Accent4 2 10" xfId="424"/>
    <cellStyle name="Accent4 2 2" xfId="425"/>
    <cellStyle name="Accent4 2 3" xfId="426"/>
    <cellStyle name="Accent4 2 4" xfId="427"/>
    <cellStyle name="Accent4 2 5" xfId="428"/>
    <cellStyle name="Accent4 2 6" xfId="429"/>
    <cellStyle name="Accent4 2 7" xfId="430"/>
    <cellStyle name="Accent4 2 8" xfId="431"/>
    <cellStyle name="Accent4 2 9" xfId="432"/>
    <cellStyle name="Accent4 3" xfId="433"/>
    <cellStyle name="Accent4 3 2" xfId="434"/>
    <cellStyle name="Accent5 2" xfId="435"/>
    <cellStyle name="Accent5 2 10" xfId="436"/>
    <cellStyle name="Accent5 2 2" xfId="437"/>
    <cellStyle name="Accent5 2 3" xfId="438"/>
    <cellStyle name="Accent5 2 4" xfId="439"/>
    <cellStyle name="Accent5 2 5" xfId="440"/>
    <cellStyle name="Accent5 2 6" xfId="441"/>
    <cellStyle name="Accent5 2 7" xfId="442"/>
    <cellStyle name="Accent5 2 8" xfId="443"/>
    <cellStyle name="Accent5 2 9" xfId="444"/>
    <cellStyle name="Accent5 3" xfId="445"/>
    <cellStyle name="Accent6 2" xfId="446"/>
    <cellStyle name="Accent6 2 10" xfId="447"/>
    <cellStyle name="Accent6 2 2" xfId="448"/>
    <cellStyle name="Accent6 2 3" xfId="449"/>
    <cellStyle name="Accent6 2 4" xfId="450"/>
    <cellStyle name="Accent6 2 5" xfId="451"/>
    <cellStyle name="Accent6 2 6" xfId="452"/>
    <cellStyle name="Accent6 2 7" xfId="453"/>
    <cellStyle name="Accent6 2 8" xfId="454"/>
    <cellStyle name="Accent6 2 9" xfId="455"/>
    <cellStyle name="Accent6 3" xfId="456"/>
    <cellStyle name="Accent6 3 2" xfId="457"/>
    <cellStyle name="AggOrange_CRFReport-template" xfId="458"/>
    <cellStyle name="AggOrange9_CRFReport-template" xfId="459"/>
    <cellStyle name="Bad 2" xfId="460"/>
    <cellStyle name="Bad 2 10" xfId="461"/>
    <cellStyle name="Bad 2 2" xfId="462"/>
    <cellStyle name="Bad 2 3" xfId="463"/>
    <cellStyle name="Bad 2 4" xfId="464"/>
    <cellStyle name="Bad 2 5" xfId="465"/>
    <cellStyle name="Bad 2 6" xfId="466"/>
    <cellStyle name="Bad 2 7" xfId="467"/>
    <cellStyle name="Bad 2 8" xfId="468"/>
    <cellStyle name="Bad 2 9" xfId="469"/>
    <cellStyle name="Bad 3" xfId="470"/>
    <cellStyle name="Bad 3 2" xfId="471"/>
    <cellStyle name="Bad 4" xfId="472"/>
    <cellStyle name="Calculation 2" xfId="473"/>
    <cellStyle name="Calculation 2 10" xfId="474"/>
    <cellStyle name="Calculation 2 2" xfId="475"/>
    <cellStyle name="Calculation 2 3" xfId="476"/>
    <cellStyle name="Calculation 2 4" xfId="477"/>
    <cellStyle name="Calculation 2 5" xfId="478"/>
    <cellStyle name="Calculation 2 6" xfId="479"/>
    <cellStyle name="Calculation 2 7" xfId="480"/>
    <cellStyle name="Calculation 2 8" xfId="481"/>
    <cellStyle name="Calculation 2 9" xfId="482"/>
    <cellStyle name="Calculation 3" xfId="483"/>
    <cellStyle name="Calculation 3 2" xfId="484"/>
    <cellStyle name="Check Cell 2" xfId="485"/>
    <cellStyle name="Check Cell 2 10" xfId="486"/>
    <cellStyle name="Check Cell 2 2" xfId="487"/>
    <cellStyle name="Check Cell 2 3" xfId="488"/>
    <cellStyle name="Check Cell 2 4" xfId="489"/>
    <cellStyle name="Check Cell 2 5" xfId="490"/>
    <cellStyle name="Check Cell 2 6" xfId="491"/>
    <cellStyle name="Check Cell 2 7" xfId="492"/>
    <cellStyle name="Check Cell 2 8" xfId="493"/>
    <cellStyle name="Check Cell 2 9" xfId="494"/>
    <cellStyle name="Check Cell 3" xfId="495"/>
    <cellStyle name="coin" xfId="496"/>
    <cellStyle name="coin 2" xfId="497"/>
    <cellStyle name="Comma [0] 2 10" xfId="498"/>
    <cellStyle name="Comma [0] 2 10 2" xfId="499"/>
    <cellStyle name="Comma [0] 2 2" xfId="500"/>
    <cellStyle name="Comma [0] 2 2 2" xfId="501"/>
    <cellStyle name="Comma [0] 2 3" xfId="502"/>
    <cellStyle name="Comma [0] 2 3 2" xfId="503"/>
    <cellStyle name="Comma [0] 2 4" xfId="504"/>
    <cellStyle name="Comma [0] 2 4 2" xfId="505"/>
    <cellStyle name="Comma [0] 2 5" xfId="506"/>
    <cellStyle name="Comma [0] 2 5 2" xfId="507"/>
    <cellStyle name="Comma [0] 2 6" xfId="508"/>
    <cellStyle name="Comma [0] 2 6 2" xfId="509"/>
    <cellStyle name="Comma [0] 2 7" xfId="510"/>
    <cellStyle name="Comma [0] 2 7 2" xfId="511"/>
    <cellStyle name="Comma [0] 2 8" xfId="512"/>
    <cellStyle name="Comma [0] 2 8 2" xfId="513"/>
    <cellStyle name="Comma [0] 2 9" xfId="514"/>
    <cellStyle name="Comma [0] 2 9 2" xfId="515"/>
    <cellStyle name="Comma 10 2" xfId="516"/>
    <cellStyle name="Comma 10 2 10" xfId="517"/>
    <cellStyle name="Comma 10 2 10 2" xfId="518"/>
    <cellStyle name="Comma 10 2 11" xfId="519"/>
    <cellStyle name="Comma 10 2 11 2" xfId="520"/>
    <cellStyle name="Comma 10 2 12" xfId="521"/>
    <cellStyle name="Comma 10 2 12 2" xfId="522"/>
    <cellStyle name="Comma 10 2 13" xfId="523"/>
    <cellStyle name="Comma 10 2 13 2" xfId="524"/>
    <cellStyle name="Comma 10 2 14" xfId="525"/>
    <cellStyle name="Comma 10 2 14 2" xfId="526"/>
    <cellStyle name="Comma 10 2 15" xfId="527"/>
    <cellStyle name="Comma 10 2 15 2" xfId="528"/>
    <cellStyle name="Comma 10 2 16" xfId="529"/>
    <cellStyle name="Comma 10 2 16 2" xfId="530"/>
    <cellStyle name="Comma 10 2 17" xfId="531"/>
    <cellStyle name="Comma 10 2 17 2" xfId="532"/>
    <cellStyle name="Comma 10 2 18" xfId="533"/>
    <cellStyle name="Comma 10 2 2" xfId="534"/>
    <cellStyle name="Comma 10 2 2 2" xfId="535"/>
    <cellStyle name="Comma 10 2 3" xfId="536"/>
    <cellStyle name="Comma 10 2 3 2" xfId="537"/>
    <cellStyle name="Comma 10 2 4" xfId="538"/>
    <cellStyle name="Comma 10 2 4 2" xfId="539"/>
    <cellStyle name="Comma 10 2 5" xfId="540"/>
    <cellStyle name="Comma 10 2 5 2" xfId="541"/>
    <cellStyle name="Comma 10 2 6" xfId="542"/>
    <cellStyle name="Comma 10 2 6 2" xfId="543"/>
    <cellStyle name="Comma 10 2 7" xfId="544"/>
    <cellStyle name="Comma 10 2 7 2" xfId="545"/>
    <cellStyle name="Comma 10 2 8" xfId="546"/>
    <cellStyle name="Comma 10 2 8 2" xfId="547"/>
    <cellStyle name="Comma 10 2 9" xfId="548"/>
    <cellStyle name="Comma 10 2 9 2" xfId="549"/>
    <cellStyle name="Comma 10 3" xfId="550"/>
    <cellStyle name="Comma 10 3 10" xfId="551"/>
    <cellStyle name="Comma 10 3 10 2" xfId="552"/>
    <cellStyle name="Comma 10 3 11" xfId="553"/>
    <cellStyle name="Comma 10 3 11 2" xfId="554"/>
    <cellStyle name="Comma 10 3 12" xfId="555"/>
    <cellStyle name="Comma 10 3 12 2" xfId="556"/>
    <cellStyle name="Comma 10 3 13" xfId="557"/>
    <cellStyle name="Comma 10 3 13 2" xfId="558"/>
    <cellStyle name="Comma 10 3 14" xfId="559"/>
    <cellStyle name="Comma 10 3 14 2" xfId="560"/>
    <cellStyle name="Comma 10 3 15" xfId="561"/>
    <cellStyle name="Comma 10 3 15 2" xfId="562"/>
    <cellStyle name="Comma 10 3 16" xfId="563"/>
    <cellStyle name="Comma 10 3 16 2" xfId="564"/>
    <cellStyle name="Comma 10 3 17" xfId="565"/>
    <cellStyle name="Comma 10 3 17 2" xfId="566"/>
    <cellStyle name="Comma 10 3 18" xfId="567"/>
    <cellStyle name="Comma 10 3 2" xfId="568"/>
    <cellStyle name="Comma 10 3 2 2" xfId="569"/>
    <cellStyle name="Comma 10 3 3" xfId="570"/>
    <cellStyle name="Comma 10 3 3 2" xfId="571"/>
    <cellStyle name="Comma 10 3 4" xfId="572"/>
    <cellStyle name="Comma 10 3 4 2" xfId="573"/>
    <cellStyle name="Comma 10 3 5" xfId="574"/>
    <cellStyle name="Comma 10 3 5 2" xfId="575"/>
    <cellStyle name="Comma 10 3 6" xfId="576"/>
    <cellStyle name="Comma 10 3 6 2" xfId="577"/>
    <cellStyle name="Comma 10 3 7" xfId="578"/>
    <cellStyle name="Comma 10 3 7 2" xfId="579"/>
    <cellStyle name="Comma 10 3 8" xfId="580"/>
    <cellStyle name="Comma 10 3 8 2" xfId="581"/>
    <cellStyle name="Comma 10 3 9" xfId="582"/>
    <cellStyle name="Comma 10 3 9 2" xfId="583"/>
    <cellStyle name="Comma 10 4" xfId="584"/>
    <cellStyle name="Comma 10 4 10" xfId="585"/>
    <cellStyle name="Comma 10 4 10 2" xfId="586"/>
    <cellStyle name="Comma 10 4 11" xfId="587"/>
    <cellStyle name="Comma 10 4 11 2" xfId="588"/>
    <cellStyle name="Comma 10 4 12" xfId="589"/>
    <cellStyle name="Comma 10 4 12 2" xfId="590"/>
    <cellStyle name="Comma 10 4 13" xfId="591"/>
    <cellStyle name="Comma 10 4 13 2" xfId="592"/>
    <cellStyle name="Comma 10 4 14" xfId="593"/>
    <cellStyle name="Comma 10 4 14 2" xfId="594"/>
    <cellStyle name="Comma 10 4 15" xfId="595"/>
    <cellStyle name="Comma 10 4 15 2" xfId="596"/>
    <cellStyle name="Comma 10 4 16" xfId="597"/>
    <cellStyle name="Comma 10 4 16 2" xfId="598"/>
    <cellStyle name="Comma 10 4 17" xfId="599"/>
    <cellStyle name="Comma 10 4 17 2" xfId="600"/>
    <cellStyle name="Comma 10 4 18" xfId="601"/>
    <cellStyle name="Comma 10 4 2" xfId="602"/>
    <cellStyle name="Comma 10 4 2 2" xfId="603"/>
    <cellStyle name="Comma 10 4 3" xfId="604"/>
    <cellStyle name="Comma 10 4 3 2" xfId="605"/>
    <cellStyle name="Comma 10 4 4" xfId="606"/>
    <cellStyle name="Comma 10 4 4 2" xfId="607"/>
    <cellStyle name="Comma 10 4 5" xfId="608"/>
    <cellStyle name="Comma 10 4 5 2" xfId="609"/>
    <cellStyle name="Comma 10 4 6" xfId="610"/>
    <cellStyle name="Comma 10 4 6 2" xfId="611"/>
    <cellStyle name="Comma 10 4 7" xfId="612"/>
    <cellStyle name="Comma 10 4 7 2" xfId="613"/>
    <cellStyle name="Comma 10 4 8" xfId="614"/>
    <cellStyle name="Comma 10 4 8 2" xfId="615"/>
    <cellStyle name="Comma 10 4 9" xfId="616"/>
    <cellStyle name="Comma 10 4 9 2" xfId="617"/>
    <cellStyle name="Comma 10 5" xfId="618"/>
    <cellStyle name="Comma 10 5 10" xfId="619"/>
    <cellStyle name="Comma 10 5 10 2" xfId="620"/>
    <cellStyle name="Comma 10 5 11" xfId="621"/>
    <cellStyle name="Comma 10 5 11 2" xfId="622"/>
    <cellStyle name="Comma 10 5 12" xfId="623"/>
    <cellStyle name="Comma 10 5 12 2" xfId="624"/>
    <cellStyle name="Comma 10 5 13" xfId="625"/>
    <cellStyle name="Comma 10 5 13 2" xfId="626"/>
    <cellStyle name="Comma 10 5 14" xfId="627"/>
    <cellStyle name="Comma 10 5 14 2" xfId="628"/>
    <cellStyle name="Comma 10 5 15" xfId="629"/>
    <cellStyle name="Comma 10 5 15 2" xfId="630"/>
    <cellStyle name="Comma 10 5 16" xfId="631"/>
    <cellStyle name="Comma 10 5 16 2" xfId="632"/>
    <cellStyle name="Comma 10 5 17" xfId="633"/>
    <cellStyle name="Comma 10 5 17 2" xfId="634"/>
    <cellStyle name="Comma 10 5 18" xfId="635"/>
    <cellStyle name="Comma 10 5 2" xfId="636"/>
    <cellStyle name="Comma 10 5 2 2" xfId="637"/>
    <cellStyle name="Comma 10 5 3" xfId="638"/>
    <cellStyle name="Comma 10 5 3 2" xfId="639"/>
    <cellStyle name="Comma 10 5 4" xfId="640"/>
    <cellStyle name="Comma 10 5 4 2" xfId="641"/>
    <cellStyle name="Comma 10 5 5" xfId="642"/>
    <cellStyle name="Comma 10 5 5 2" xfId="643"/>
    <cellStyle name="Comma 10 5 6" xfId="644"/>
    <cellStyle name="Comma 10 5 6 2" xfId="645"/>
    <cellStyle name="Comma 10 5 7" xfId="646"/>
    <cellStyle name="Comma 10 5 7 2" xfId="647"/>
    <cellStyle name="Comma 10 5 8" xfId="648"/>
    <cellStyle name="Comma 10 5 8 2" xfId="649"/>
    <cellStyle name="Comma 10 5 9" xfId="650"/>
    <cellStyle name="Comma 10 5 9 2" xfId="651"/>
    <cellStyle name="Comma 10 6" xfId="652"/>
    <cellStyle name="Comma 10 6 10" xfId="653"/>
    <cellStyle name="Comma 10 6 10 2" xfId="654"/>
    <cellStyle name="Comma 10 6 11" xfId="655"/>
    <cellStyle name="Comma 10 6 11 2" xfId="656"/>
    <cellStyle name="Comma 10 6 12" xfId="657"/>
    <cellStyle name="Comma 10 6 12 2" xfId="658"/>
    <cellStyle name="Comma 10 6 13" xfId="659"/>
    <cellStyle name="Comma 10 6 13 2" xfId="660"/>
    <cellStyle name="Comma 10 6 14" xfId="661"/>
    <cellStyle name="Comma 10 6 14 2" xfId="662"/>
    <cellStyle name="Comma 10 6 15" xfId="663"/>
    <cellStyle name="Comma 10 6 15 2" xfId="664"/>
    <cellStyle name="Comma 10 6 16" xfId="665"/>
    <cellStyle name="Comma 10 6 16 2" xfId="666"/>
    <cellStyle name="Comma 10 6 17" xfId="667"/>
    <cellStyle name="Comma 10 6 17 2" xfId="668"/>
    <cellStyle name="Comma 10 6 18" xfId="669"/>
    <cellStyle name="Comma 10 6 2" xfId="670"/>
    <cellStyle name="Comma 10 6 2 2" xfId="671"/>
    <cellStyle name="Comma 10 6 3" xfId="672"/>
    <cellStyle name="Comma 10 6 3 2" xfId="673"/>
    <cellStyle name="Comma 10 6 4" xfId="674"/>
    <cellStyle name="Comma 10 6 4 2" xfId="675"/>
    <cellStyle name="Comma 10 6 5" xfId="676"/>
    <cellStyle name="Comma 10 6 5 2" xfId="677"/>
    <cellStyle name="Comma 10 6 6" xfId="678"/>
    <cellStyle name="Comma 10 6 6 2" xfId="679"/>
    <cellStyle name="Comma 10 6 7" xfId="680"/>
    <cellStyle name="Comma 10 6 7 2" xfId="681"/>
    <cellStyle name="Comma 10 6 8" xfId="682"/>
    <cellStyle name="Comma 10 6 8 2" xfId="683"/>
    <cellStyle name="Comma 10 6 9" xfId="684"/>
    <cellStyle name="Comma 10 6 9 2" xfId="685"/>
    <cellStyle name="Comma 10 7" xfId="686"/>
    <cellStyle name="Comma 10 7 10" xfId="687"/>
    <cellStyle name="Comma 10 7 10 2" xfId="688"/>
    <cellStyle name="Comma 10 7 11" xfId="689"/>
    <cellStyle name="Comma 10 7 11 2" xfId="690"/>
    <cellStyle name="Comma 10 7 12" xfId="691"/>
    <cellStyle name="Comma 10 7 12 2" xfId="692"/>
    <cellStyle name="Comma 10 7 13" xfId="693"/>
    <cellStyle name="Comma 10 7 13 2" xfId="694"/>
    <cellStyle name="Comma 10 7 14" xfId="695"/>
    <cellStyle name="Comma 10 7 14 2" xfId="696"/>
    <cellStyle name="Comma 10 7 15" xfId="697"/>
    <cellStyle name="Comma 10 7 15 2" xfId="698"/>
    <cellStyle name="Comma 10 7 16" xfId="699"/>
    <cellStyle name="Comma 10 7 16 2" xfId="700"/>
    <cellStyle name="Comma 10 7 17" xfId="701"/>
    <cellStyle name="Comma 10 7 17 2" xfId="702"/>
    <cellStyle name="Comma 10 7 18" xfId="703"/>
    <cellStyle name="Comma 10 7 2" xfId="704"/>
    <cellStyle name="Comma 10 7 2 2" xfId="705"/>
    <cellStyle name="Comma 10 7 3" xfId="706"/>
    <cellStyle name="Comma 10 7 3 2" xfId="707"/>
    <cellStyle name="Comma 10 7 4" xfId="708"/>
    <cellStyle name="Comma 10 7 4 2" xfId="709"/>
    <cellStyle name="Comma 10 7 5" xfId="710"/>
    <cellStyle name="Comma 10 7 5 2" xfId="711"/>
    <cellStyle name="Comma 10 7 6" xfId="712"/>
    <cellStyle name="Comma 10 7 6 2" xfId="713"/>
    <cellStyle name="Comma 10 7 7" xfId="714"/>
    <cellStyle name="Comma 10 7 7 2" xfId="715"/>
    <cellStyle name="Comma 10 7 8" xfId="716"/>
    <cellStyle name="Comma 10 7 8 2" xfId="717"/>
    <cellStyle name="Comma 10 7 9" xfId="718"/>
    <cellStyle name="Comma 10 7 9 2" xfId="719"/>
    <cellStyle name="Comma 10 8" xfId="720"/>
    <cellStyle name="Comma 10 8 10" xfId="721"/>
    <cellStyle name="Comma 10 8 10 2" xfId="722"/>
    <cellStyle name="Comma 10 8 11" xfId="723"/>
    <cellStyle name="Comma 10 8 11 2" xfId="724"/>
    <cellStyle name="Comma 10 8 12" xfId="725"/>
    <cellStyle name="Comma 10 8 12 2" xfId="726"/>
    <cellStyle name="Comma 10 8 13" xfId="727"/>
    <cellStyle name="Comma 10 8 13 2" xfId="728"/>
    <cellStyle name="Comma 10 8 14" xfId="729"/>
    <cellStyle name="Comma 10 8 14 2" xfId="730"/>
    <cellStyle name="Comma 10 8 15" xfId="731"/>
    <cellStyle name="Comma 10 8 15 2" xfId="732"/>
    <cellStyle name="Comma 10 8 16" xfId="733"/>
    <cellStyle name="Comma 10 8 16 2" xfId="734"/>
    <cellStyle name="Comma 10 8 17" xfId="735"/>
    <cellStyle name="Comma 10 8 17 2" xfId="736"/>
    <cellStyle name="Comma 10 8 18" xfId="737"/>
    <cellStyle name="Comma 10 8 2" xfId="738"/>
    <cellStyle name="Comma 10 8 2 2" xfId="739"/>
    <cellStyle name="Comma 10 8 3" xfId="740"/>
    <cellStyle name="Comma 10 8 3 2" xfId="741"/>
    <cellStyle name="Comma 10 8 4" xfId="742"/>
    <cellStyle name="Comma 10 8 4 2" xfId="743"/>
    <cellStyle name="Comma 10 8 5" xfId="744"/>
    <cellStyle name="Comma 10 8 5 2" xfId="745"/>
    <cellStyle name="Comma 10 8 6" xfId="746"/>
    <cellStyle name="Comma 10 8 6 2" xfId="747"/>
    <cellStyle name="Comma 10 8 7" xfId="748"/>
    <cellStyle name="Comma 10 8 7 2" xfId="749"/>
    <cellStyle name="Comma 10 8 8" xfId="750"/>
    <cellStyle name="Comma 10 8 8 2" xfId="751"/>
    <cellStyle name="Comma 10 8 9" xfId="752"/>
    <cellStyle name="Comma 10 8 9 2" xfId="753"/>
    <cellStyle name="Comma 2" xfId="754"/>
    <cellStyle name="Comma 2 10" xfId="755"/>
    <cellStyle name="Comma 2 10 2" xfId="756"/>
    <cellStyle name="Comma 2 11" xfId="757"/>
    <cellStyle name="Comma 2 11 2" xfId="758"/>
    <cellStyle name="Comma 2 12" xfId="759"/>
    <cellStyle name="Comma 2 12 2" xfId="760"/>
    <cellStyle name="Comma 2 13" xfId="761"/>
    <cellStyle name="Comma 2 13 2" xfId="762"/>
    <cellStyle name="Comma 2 14" xfId="763"/>
    <cellStyle name="Comma 2 14 2" xfId="764"/>
    <cellStyle name="Comma 2 15" xfId="765"/>
    <cellStyle name="Comma 2 15 2" xfId="766"/>
    <cellStyle name="Comma 2 16" xfId="767"/>
    <cellStyle name="Comma 2 16 2" xfId="768"/>
    <cellStyle name="Comma 2 17" xfId="769"/>
    <cellStyle name="Comma 2 17 2" xfId="770"/>
    <cellStyle name="Comma 2 17 3" xfId="771"/>
    <cellStyle name="Comma 2 18" xfId="772"/>
    <cellStyle name="Comma 2 2" xfId="773"/>
    <cellStyle name="Comma 2 2 2" xfId="774"/>
    <cellStyle name="Comma 2 2 3" xfId="775"/>
    <cellStyle name="Comma 2 3" xfId="776"/>
    <cellStyle name="Comma 2 3 2" xfId="777"/>
    <cellStyle name="Comma 2 4" xfId="778"/>
    <cellStyle name="Comma 2 4 2" xfId="779"/>
    <cellStyle name="Comma 2 5" xfId="780"/>
    <cellStyle name="Comma 2 5 2" xfId="781"/>
    <cellStyle name="Comma 2 6" xfId="782"/>
    <cellStyle name="Comma 2 6 2" xfId="783"/>
    <cellStyle name="Comma 2 7" xfId="784"/>
    <cellStyle name="Comma 2 7 2" xfId="785"/>
    <cellStyle name="Comma 2 8" xfId="786"/>
    <cellStyle name="Comma 2 8 2" xfId="787"/>
    <cellStyle name="Comma 2 9" xfId="788"/>
    <cellStyle name="Comma 2 9 2" xfId="789"/>
    <cellStyle name="Comma 3" xfId="790"/>
    <cellStyle name="Comma 3 2" xfId="791"/>
    <cellStyle name="Comma 3 2 2" xfId="792"/>
    <cellStyle name="Comma 3 3" xfId="793"/>
    <cellStyle name="Comma 3 3 2" xfId="794"/>
    <cellStyle name="Comma 3 4" xfId="795"/>
    <cellStyle name="Comma 3 4 2" xfId="796"/>
    <cellStyle name="Comma 3 5" xfId="797"/>
    <cellStyle name="Comma 3 5 2" xfId="798"/>
    <cellStyle name="Comma 3 6" xfId="799"/>
    <cellStyle name="Comma 3 6 2" xfId="800"/>
    <cellStyle name="Comma 3 7" xfId="801"/>
    <cellStyle name="Comma 3 7 2" xfId="802"/>
    <cellStyle name="Comma 3 8" xfId="803"/>
    <cellStyle name="Comma 3 8 2" xfId="804"/>
    <cellStyle name="Comma 3 9" xfId="805"/>
    <cellStyle name="Comma 4" xfId="806"/>
    <cellStyle name="Comma 4 2" xfId="807"/>
    <cellStyle name="Comma 4 2 2" xfId="808"/>
    <cellStyle name="Comma 4 3" xfId="809"/>
    <cellStyle name="Comma 4 3 2" xfId="810"/>
    <cellStyle name="Comma 4 4" xfId="811"/>
    <cellStyle name="Comma 4 4 2" xfId="812"/>
    <cellStyle name="Comma 4 5" xfId="813"/>
    <cellStyle name="Comma 4 5 2" xfId="814"/>
    <cellStyle name="Comma 4 6" xfId="815"/>
    <cellStyle name="Comma 4 6 2" xfId="816"/>
    <cellStyle name="Comma 4 7" xfId="817"/>
    <cellStyle name="Comma 4 7 2" xfId="818"/>
    <cellStyle name="Comma 4 8" xfId="819"/>
    <cellStyle name="Comma 4 8 2" xfId="820"/>
    <cellStyle name="Comma 4 9" xfId="821"/>
    <cellStyle name="Comma 5" xfId="822"/>
    <cellStyle name="Comma 5 2" xfId="823"/>
    <cellStyle name="Comma 5 2 2" xfId="824"/>
    <cellStyle name="Comma 5 3" xfId="825"/>
    <cellStyle name="Comma 5 3 2" xfId="826"/>
    <cellStyle name="Comma 5 4" xfId="827"/>
    <cellStyle name="Comma 5 4 2" xfId="828"/>
    <cellStyle name="Comma 5 5" xfId="829"/>
    <cellStyle name="Comma 5 5 2" xfId="830"/>
    <cellStyle name="Comma 5 6" xfId="831"/>
    <cellStyle name="Comma 5 6 2" xfId="832"/>
    <cellStyle name="Comma 5 7" xfId="833"/>
    <cellStyle name="Comma 5 7 2" xfId="834"/>
    <cellStyle name="Comma 5 8" xfId="835"/>
    <cellStyle name="Comma 5 8 2" xfId="836"/>
    <cellStyle name="Comma 5 9" xfId="837"/>
    <cellStyle name="Comma 6" xfId="838"/>
    <cellStyle name="Comma 6 2" xfId="839"/>
    <cellStyle name="Comma 6 2 2" xfId="840"/>
    <cellStyle name="Comma 6 3" xfId="841"/>
    <cellStyle name="Comma 6 3 2" xfId="842"/>
    <cellStyle name="Comma 6 4" xfId="843"/>
    <cellStyle name="Comma 6 4 2" xfId="844"/>
    <cellStyle name="Comma 6 5" xfId="845"/>
    <cellStyle name="Comma 6 5 2" xfId="846"/>
    <cellStyle name="Comma 6 6" xfId="847"/>
    <cellStyle name="Comma 6 6 2" xfId="848"/>
    <cellStyle name="Comma 6 7" xfId="849"/>
    <cellStyle name="Comma 6 7 2" xfId="850"/>
    <cellStyle name="Comma 6 8" xfId="851"/>
    <cellStyle name="Comma 6 8 2" xfId="852"/>
    <cellStyle name="Comma 6 9" xfId="853"/>
    <cellStyle name="Comma 7" xfId="854"/>
    <cellStyle name="Comma 7 10" xfId="855"/>
    <cellStyle name="Comma 7 10 2" xfId="856"/>
    <cellStyle name="Comma 7 11" xfId="857"/>
    <cellStyle name="Comma 7 11 2" xfId="858"/>
    <cellStyle name="Comma 7 11 2 2" xfId="859"/>
    <cellStyle name="Comma 7 11 2 3" xfId="860"/>
    <cellStyle name="Comma 7 12" xfId="861"/>
    <cellStyle name="Comma 7 12 2" xfId="862"/>
    <cellStyle name="Comma 7 13" xfId="863"/>
    <cellStyle name="Comma 7 13 2" xfId="864"/>
    <cellStyle name="Comma 7 14" xfId="865"/>
    <cellStyle name="Comma 7 14 2" xfId="866"/>
    <cellStyle name="Comma 7 15" xfId="867"/>
    <cellStyle name="Comma 7 15 2" xfId="868"/>
    <cellStyle name="Comma 7 16" xfId="869"/>
    <cellStyle name="Comma 7 16 2" xfId="870"/>
    <cellStyle name="Comma 7 16 2 2" xfId="871"/>
    <cellStyle name="Comma 7 16 2 3" xfId="872"/>
    <cellStyle name="Comma 7 17" xfId="873"/>
    <cellStyle name="Comma 7 17 2" xfId="874"/>
    <cellStyle name="Comma 7 17 2 2" xfId="875"/>
    <cellStyle name="Comma 7 17 2 3" xfId="876"/>
    <cellStyle name="Comma 7 18" xfId="877"/>
    <cellStyle name="Comma 7 18 2" xfId="878"/>
    <cellStyle name="Comma 7 18 2 2" xfId="879"/>
    <cellStyle name="Comma 7 18 2 3" xfId="880"/>
    <cellStyle name="Comma 7 19" xfId="881"/>
    <cellStyle name="Comma 7 19 2" xfId="882"/>
    <cellStyle name="Comma 7 19 2 2" xfId="883"/>
    <cellStyle name="Comma 7 19 2 3" xfId="884"/>
    <cellStyle name="Comma 7 2" xfId="885"/>
    <cellStyle name="Comma 7 2 2" xfId="886"/>
    <cellStyle name="Comma 7 20" xfId="887"/>
    <cellStyle name="Comma 7 20 2" xfId="888"/>
    <cellStyle name="Comma 7 20 2 2" xfId="889"/>
    <cellStyle name="Comma 7 20 2 3" xfId="890"/>
    <cellStyle name="Comma 7 21" xfId="891"/>
    <cellStyle name="Comma 7 21 2" xfId="892"/>
    <cellStyle name="Comma 7 21 2 2" xfId="893"/>
    <cellStyle name="Comma 7 21 2 3" xfId="894"/>
    <cellStyle name="Comma 7 3" xfId="895"/>
    <cellStyle name="Comma 7 3 10" xfId="896"/>
    <cellStyle name="Comma 7 3 10 2" xfId="897"/>
    <cellStyle name="Comma 7 3 11" xfId="898"/>
    <cellStyle name="Comma 7 3 11 2" xfId="899"/>
    <cellStyle name="Comma 7 3 12" xfId="900"/>
    <cellStyle name="Comma 7 3 12 2" xfId="901"/>
    <cellStyle name="Comma 7 3 13" xfId="902"/>
    <cellStyle name="Comma 7 3 13 2" xfId="903"/>
    <cellStyle name="Comma 7 3 14" xfId="904"/>
    <cellStyle name="Comma 7 3 14 2" xfId="905"/>
    <cellStyle name="Comma 7 3 15" xfId="906"/>
    <cellStyle name="Comma 7 3 15 2" xfId="907"/>
    <cellStyle name="Comma 7 3 16" xfId="908"/>
    <cellStyle name="Comma 7 3 16 2" xfId="909"/>
    <cellStyle name="Comma 7 3 16 3" xfId="910"/>
    <cellStyle name="Comma 7 3 2" xfId="911"/>
    <cellStyle name="Comma 7 3 2 2" xfId="912"/>
    <cellStyle name="Comma 7 3 3" xfId="913"/>
    <cellStyle name="Comma 7 3 3 2" xfId="914"/>
    <cellStyle name="Comma 7 3 4" xfId="915"/>
    <cellStyle name="Comma 7 3 4 2" xfId="916"/>
    <cellStyle name="Comma 7 3 5" xfId="917"/>
    <cellStyle name="Comma 7 3 5 2" xfId="918"/>
    <cellStyle name="Comma 7 3 6" xfId="919"/>
    <cellStyle name="Comma 7 3 6 2" xfId="920"/>
    <cellStyle name="Comma 7 3 7" xfId="921"/>
    <cellStyle name="Comma 7 3 7 2" xfId="922"/>
    <cellStyle name="Comma 7 3 8" xfId="923"/>
    <cellStyle name="Comma 7 3 8 2" xfId="924"/>
    <cellStyle name="Comma 7 3 9" xfId="925"/>
    <cellStyle name="Comma 7 3 9 2" xfId="926"/>
    <cellStyle name="Comma 7 4" xfId="927"/>
    <cellStyle name="Comma 7 4 2" xfId="928"/>
    <cellStyle name="Comma 7 5" xfId="929"/>
    <cellStyle name="Comma 7 5 2" xfId="930"/>
    <cellStyle name="Comma 7 6" xfId="931"/>
    <cellStyle name="Comma 7 6 2" xfId="932"/>
    <cellStyle name="Comma 7 7" xfId="933"/>
    <cellStyle name="Comma 7 7 2" xfId="934"/>
    <cellStyle name="Comma 7 8" xfId="935"/>
    <cellStyle name="Comma 7 8 2" xfId="936"/>
    <cellStyle name="Comma 7 9" xfId="937"/>
    <cellStyle name="Comma 7 9 2" xfId="938"/>
    <cellStyle name="Comma 8" xfId="939"/>
    <cellStyle name="Comma 8 2" xfId="940"/>
    <cellStyle name="Comma 8 2 2" xfId="941"/>
    <cellStyle name="Comma 8 2 2 2" xfId="942"/>
    <cellStyle name="Comma 8 2 2 3" xfId="943"/>
    <cellStyle name="Comma 8 3" xfId="944"/>
    <cellStyle name="Comma 8 3 2" xfId="945"/>
    <cellStyle name="Comma 8 3 2 2" xfId="946"/>
    <cellStyle name="Comma 8 3 2 3" xfId="947"/>
    <cellStyle name="Comma 8 4" xfId="948"/>
    <cellStyle name="Comma 8 4 2" xfId="949"/>
    <cellStyle name="Comma 8 4 2 2" xfId="950"/>
    <cellStyle name="Comma 8 4 2 3" xfId="951"/>
    <cellStyle name="Comma 8 5" xfId="952"/>
    <cellStyle name="Comma 8 5 2" xfId="953"/>
    <cellStyle name="Comma 8 5 2 2" xfId="954"/>
    <cellStyle name="Comma 8 5 2 3" xfId="955"/>
    <cellStyle name="Comma 8 6" xfId="956"/>
    <cellStyle name="Comma 8 6 2" xfId="957"/>
    <cellStyle name="Comma 8 6 2 2" xfId="958"/>
    <cellStyle name="Comma 8 6 2 3" xfId="959"/>
    <cellStyle name="Comma 8 7" xfId="960"/>
    <cellStyle name="Comma 8 7 2" xfId="961"/>
    <cellStyle name="Comma 8 7 2 2" xfId="962"/>
    <cellStyle name="Comma 8 7 2 3" xfId="963"/>
    <cellStyle name="Comma 8 8" xfId="964"/>
    <cellStyle name="Comma 8 8 2" xfId="965"/>
    <cellStyle name="Comma 8 8 2 2" xfId="966"/>
    <cellStyle name="Comma 8 8 2 3" xfId="967"/>
    <cellStyle name="Comma 9" xfId="968"/>
    <cellStyle name="Comma 9 2" xfId="969"/>
    <cellStyle name="Comma 9 2 2" xfId="970"/>
    <cellStyle name="Comma 9 3" xfId="971"/>
    <cellStyle name="Comma 9 4" xfId="972"/>
    <cellStyle name="Comma 9 5" xfId="973"/>
    <cellStyle name="Comma 9 6" xfId="974"/>
    <cellStyle name="Comma 9 7" xfId="975"/>
    <cellStyle name="Comma 9 8" xfId="976"/>
    <cellStyle name="Comma 9 9" xfId="977"/>
    <cellStyle name="Currency 2 2" xfId="978"/>
    <cellStyle name="Currency 2 2 2" xfId="979"/>
    <cellStyle name="CustomizationCells" xfId="980"/>
    <cellStyle name="Date" xfId="981"/>
    <cellStyle name="Date 2" xfId="982"/>
    <cellStyle name="donn_normal" xfId="983"/>
    <cellStyle name="ent_col_ser" xfId="984"/>
    <cellStyle name="entete_source" xfId="985"/>
    <cellStyle name="Euro" xfId="986"/>
    <cellStyle name="Euro 2" xfId="987"/>
    <cellStyle name="Euro 2 2" xfId="988"/>
    <cellStyle name="Euro 2 2 2" xfId="989"/>
    <cellStyle name="Euro 2 2 2 2" xfId="990"/>
    <cellStyle name="Euro 2 2 2 3" xfId="991"/>
    <cellStyle name="Euro 2 2 3" xfId="992"/>
    <cellStyle name="Euro 2 2 4" xfId="993"/>
    <cellStyle name="Euro 2 3" xfId="994"/>
    <cellStyle name="Euro 2 3 2" xfId="995"/>
    <cellStyle name="Euro 2 4" xfId="996"/>
    <cellStyle name="Euro 2 5" xfId="997"/>
    <cellStyle name="Euro 3" xfId="998"/>
    <cellStyle name="Euro 3 2" xfId="999"/>
    <cellStyle name="Euro 3 3" xfId="1000"/>
    <cellStyle name="Euro 4" xfId="1001"/>
    <cellStyle name="Euro 4 2" xfId="1002"/>
    <cellStyle name="Euro 4 3" xfId="1003"/>
    <cellStyle name="Euro 5" xfId="1004"/>
    <cellStyle name="Explanatory Text 2" xfId="1005"/>
    <cellStyle name="Explanatory Text 2 10" xfId="1006"/>
    <cellStyle name="Explanatory Text 2 2" xfId="1007"/>
    <cellStyle name="Explanatory Text 2 3" xfId="1008"/>
    <cellStyle name="Explanatory Text 2 4" xfId="1009"/>
    <cellStyle name="Explanatory Text 2 5" xfId="1010"/>
    <cellStyle name="Explanatory Text 2 6" xfId="1011"/>
    <cellStyle name="Explanatory Text 2 7" xfId="1012"/>
    <cellStyle name="Explanatory Text 2 8" xfId="1013"/>
    <cellStyle name="Explanatory Text 2 9" xfId="1014"/>
    <cellStyle name="Explanatory Text 3" xfId="1015"/>
    <cellStyle name="Fixed" xfId="1016"/>
    <cellStyle name="Fixed 2" xfId="1017"/>
    <cellStyle name="Float" xfId="1018"/>
    <cellStyle name="Float 2" xfId="1019"/>
    <cellStyle name="Good 2" xfId="1020"/>
    <cellStyle name="Good 2 10" xfId="1021"/>
    <cellStyle name="Good 2 2" xfId="1022"/>
    <cellStyle name="Good 2 3" xfId="1023"/>
    <cellStyle name="Good 2 4" xfId="1024"/>
    <cellStyle name="Good 2 5" xfId="1025"/>
    <cellStyle name="Good 2 6" xfId="1026"/>
    <cellStyle name="Good 2 7" xfId="1027"/>
    <cellStyle name="Good 2 8" xfId="1028"/>
    <cellStyle name="Good 2 9" xfId="1029"/>
    <cellStyle name="Good 3" xfId="1030"/>
    <cellStyle name="Good 3 2" xfId="1031"/>
    <cellStyle name="Good 4" xfId="1032"/>
    <cellStyle name="Heading 1 2" xfId="1033"/>
    <cellStyle name="Heading 1 2 10" xfId="1034"/>
    <cellStyle name="Heading 1 2 2" xfId="1035"/>
    <cellStyle name="Heading 1 2 3" xfId="1036"/>
    <cellStyle name="Heading 1 2 4" xfId="1037"/>
    <cellStyle name="Heading 1 2 5" xfId="1038"/>
    <cellStyle name="Heading 1 2 6" xfId="1039"/>
    <cellStyle name="Heading 1 2 7" xfId="1040"/>
    <cellStyle name="Heading 1 2 8" xfId="1041"/>
    <cellStyle name="Heading 1 2 9" xfId="1042"/>
    <cellStyle name="Heading 1 3" xfId="1043"/>
    <cellStyle name="Heading 1 3 2" xfId="1044"/>
    <cellStyle name="Heading 2 2" xfId="1045"/>
    <cellStyle name="Heading 2 2 10" xfId="1046"/>
    <cellStyle name="Heading 2 2 2" xfId="1047"/>
    <cellStyle name="Heading 2 2 3" xfId="1048"/>
    <cellStyle name="Heading 2 2 4" xfId="1049"/>
    <cellStyle name="Heading 2 2 5" xfId="1050"/>
    <cellStyle name="Heading 2 2 6" xfId="1051"/>
    <cellStyle name="Heading 2 2 7" xfId="1052"/>
    <cellStyle name="Heading 2 2 8" xfId="1053"/>
    <cellStyle name="Heading 2 2 9" xfId="1054"/>
    <cellStyle name="Heading 2 3" xfId="1055"/>
    <cellStyle name="Heading 2 3 2" xfId="1056"/>
    <cellStyle name="Heading 2 4" xfId="1057"/>
    <cellStyle name="Heading 3 2" xfId="1058"/>
    <cellStyle name="Heading 3 2 10" xfId="1059"/>
    <cellStyle name="Heading 3 2 2" xfId="1060"/>
    <cellStyle name="Heading 3 2 3" xfId="1061"/>
    <cellStyle name="Heading 3 2 4" xfId="1062"/>
    <cellStyle name="Heading 3 2 5" xfId="1063"/>
    <cellStyle name="Heading 3 2 6" xfId="1064"/>
    <cellStyle name="Heading 3 2 7" xfId="1065"/>
    <cellStyle name="Heading 3 2 8" xfId="1066"/>
    <cellStyle name="Heading 3 2 9" xfId="1067"/>
    <cellStyle name="Heading 3 3" xfId="1068"/>
    <cellStyle name="Heading 3 3 2" xfId="1069"/>
    <cellStyle name="Heading 4 2" xfId="1070"/>
    <cellStyle name="Heading 4 2 10" xfId="1071"/>
    <cellStyle name="Heading 4 2 2" xfId="1072"/>
    <cellStyle name="Heading 4 2 3" xfId="1073"/>
    <cellStyle name="Heading 4 2 4" xfId="1074"/>
    <cellStyle name="Heading 4 2 5" xfId="1075"/>
    <cellStyle name="Heading 4 2 6" xfId="1076"/>
    <cellStyle name="Heading 4 2 7" xfId="1077"/>
    <cellStyle name="Heading 4 2 8" xfId="1078"/>
    <cellStyle name="Heading 4 2 9" xfId="1079"/>
    <cellStyle name="Heading 4 3" xfId="1080"/>
    <cellStyle name="Heading 4 3 2" xfId="1081"/>
    <cellStyle name="Heading1" xfId="1082"/>
    <cellStyle name="Heading1 2" xfId="1083"/>
    <cellStyle name="Heading2" xfId="1084"/>
    <cellStyle name="Heading2 2" xfId="1085"/>
    <cellStyle name="Hyperlink 2" xfId="1086"/>
    <cellStyle name="Input 2" xfId="1087"/>
    <cellStyle name="Input 2 10" xfId="1088"/>
    <cellStyle name="Input 2 2" xfId="1089"/>
    <cellStyle name="Input 2 3" xfId="1090"/>
    <cellStyle name="Input 2 4" xfId="1091"/>
    <cellStyle name="Input 2 5" xfId="1092"/>
    <cellStyle name="Input 2 6" xfId="1093"/>
    <cellStyle name="Input 2 7" xfId="1094"/>
    <cellStyle name="Input 2 8" xfId="1095"/>
    <cellStyle name="Input 2 9" xfId="1096"/>
    <cellStyle name="Input 3" xfId="1097"/>
    <cellStyle name="Input 3 2" xfId="1098"/>
    <cellStyle name="Input 4" xfId="1099"/>
    <cellStyle name="InputCells" xfId="1100"/>
    <cellStyle name="ligne_titre_0" xfId="1101"/>
    <cellStyle name="Linked Cell 2" xfId="1102"/>
    <cellStyle name="Linked Cell 2 10" xfId="1103"/>
    <cellStyle name="Linked Cell 2 2" xfId="1104"/>
    <cellStyle name="Linked Cell 2 3" xfId="1105"/>
    <cellStyle name="Linked Cell 2 4" xfId="1106"/>
    <cellStyle name="Linked Cell 2 5" xfId="1107"/>
    <cellStyle name="Linked Cell 2 6" xfId="1108"/>
    <cellStyle name="Linked Cell 2 7" xfId="1109"/>
    <cellStyle name="Linked Cell 2 8" xfId="1110"/>
    <cellStyle name="Linked Cell 2 9" xfId="1111"/>
    <cellStyle name="Linked Cell 3" xfId="1112"/>
    <cellStyle name="Linked Cell 3 2" xfId="1113"/>
    <cellStyle name="Migliaia_Oil&amp;Gas IFE ARC POLITO" xfId="1114"/>
    <cellStyle name="Neutral 2" xfId="1115"/>
    <cellStyle name="Neutral 2 10" xfId="1116"/>
    <cellStyle name="Neutral 2 2" xfId="1117"/>
    <cellStyle name="Neutral 2 3" xfId="1118"/>
    <cellStyle name="Neutral 2 4" xfId="1119"/>
    <cellStyle name="Neutral 2 5" xfId="1120"/>
    <cellStyle name="Neutral 2 6" xfId="1121"/>
    <cellStyle name="Neutral 2 7" xfId="1122"/>
    <cellStyle name="Neutral 2 8" xfId="1123"/>
    <cellStyle name="Neutral 2 9" xfId="1124"/>
    <cellStyle name="Neutral 3" xfId="1125"/>
    <cellStyle name="Neutral 3 2" xfId="1126"/>
    <cellStyle name="Neutral 3 3" xfId="1127"/>
    <cellStyle name="Neutral 4" xfId="1128"/>
    <cellStyle name="Normal 10" xfId="1129"/>
    <cellStyle name="Normal 10 2" xfId="1130"/>
    <cellStyle name="Normal 10 2 2" xfId="1131"/>
    <cellStyle name="Normal 10 3" xfId="1132"/>
    <cellStyle name="Normal 10 3 2" xfId="1133"/>
    <cellStyle name="Normal 10 4" xfId="1134"/>
    <cellStyle name="Normal 10 4 2" xfId="1135"/>
    <cellStyle name="Normal 10 5" xfId="1136"/>
    <cellStyle name="Normal 10 5 2" xfId="1137"/>
    <cellStyle name="Normal 10 6" xfId="1138"/>
    <cellStyle name="Normal 10 6 2" xfId="1139"/>
    <cellStyle name="Normal 10 7" xfId="1140"/>
    <cellStyle name="Normal 10 7 2" xfId="1141"/>
    <cellStyle name="Normal 10 8" xfId="1142"/>
    <cellStyle name="Normal 10 8 2" xfId="1143"/>
    <cellStyle name="Normal 10 9" xfId="1144"/>
    <cellStyle name="Normal 11" xfId="1145"/>
    <cellStyle name="Normal 11 10" xfId="1146"/>
    <cellStyle name="Normal 11 2" xfId="1147"/>
    <cellStyle name="Normal 11 2 2" xfId="1148"/>
    <cellStyle name="Normal 11 3" xfId="1149"/>
    <cellStyle name="Normal 11 3 2" xfId="1150"/>
    <cellStyle name="Normal 11 4" xfId="1151"/>
    <cellStyle name="Normal 11 4 2" xfId="1152"/>
    <cellStyle name="Normal 11 5" xfId="1153"/>
    <cellStyle name="Normal 11 5 2" xfId="1154"/>
    <cellStyle name="Normal 11 6" xfId="1155"/>
    <cellStyle name="Normal 11 6 2" xfId="1156"/>
    <cellStyle name="Normal 11 7" xfId="1157"/>
    <cellStyle name="Normal 11 7 2" xfId="1158"/>
    <cellStyle name="Normal 11 8" xfId="1159"/>
    <cellStyle name="Normal 11 8 2" xfId="1160"/>
    <cellStyle name="Normal 11 9" xfId="1161"/>
    <cellStyle name="Normal 12" xfId="1162"/>
    <cellStyle name="Normal 12 10" xfId="1163"/>
    <cellStyle name="Normal 12 2" xfId="1164"/>
    <cellStyle name="Normal 12 2 2" xfId="1165"/>
    <cellStyle name="Normal 12 3" xfId="1166"/>
    <cellStyle name="Normal 12 3 2" xfId="1167"/>
    <cellStyle name="Normal 12 4" xfId="1168"/>
    <cellStyle name="Normal 12 4 2" xfId="1169"/>
    <cellStyle name="Normal 12 5" xfId="1170"/>
    <cellStyle name="Normal 12 5 2" xfId="1171"/>
    <cellStyle name="Normal 12 6" xfId="1172"/>
    <cellStyle name="Normal 12 6 2" xfId="1173"/>
    <cellStyle name="Normal 12 7" xfId="1174"/>
    <cellStyle name="Normal 12 7 2" xfId="1175"/>
    <cellStyle name="Normal 12 8" xfId="1176"/>
    <cellStyle name="Normal 12 8 2" xfId="1177"/>
    <cellStyle name="Normal 12 9" xfId="1178"/>
    <cellStyle name="Normal 13" xfId="1179"/>
    <cellStyle name="Normal 13 10" xfId="1180"/>
    <cellStyle name="Normal 13 10 2" xfId="1181"/>
    <cellStyle name="Normal 13 10 2 2" xfId="1182"/>
    <cellStyle name="Normal 13 10 2 3" xfId="1183"/>
    <cellStyle name="Normal 13 10 3" xfId="1184"/>
    <cellStyle name="Normal 13 10 4" xfId="1185"/>
    <cellStyle name="Normal 13 11" xfId="1186"/>
    <cellStyle name="Normal 13 11 2" xfId="1187"/>
    <cellStyle name="Normal 13 11 2 2" xfId="1188"/>
    <cellStyle name="Normal 13 11 2 3" xfId="1189"/>
    <cellStyle name="Normal 13 11 3" xfId="1190"/>
    <cellStyle name="Normal 13 11 4" xfId="1191"/>
    <cellStyle name="Normal 13 12" xfId="1192"/>
    <cellStyle name="Normal 13 13" xfId="1193"/>
    <cellStyle name="Normal 13 13 2" xfId="1194"/>
    <cellStyle name="Normal 13 13 2 2" xfId="1195"/>
    <cellStyle name="Normal 13 13 2 3" xfId="1196"/>
    <cellStyle name="Normal 13 13 3" xfId="1197"/>
    <cellStyle name="Normal 13 13 4" xfId="1198"/>
    <cellStyle name="Normal 13 14" xfId="1199"/>
    <cellStyle name="Normal 13 14 2" xfId="1200"/>
    <cellStyle name="Normal 13 14 2 2" xfId="1201"/>
    <cellStyle name="Normal 13 14 2 3" xfId="1202"/>
    <cellStyle name="Normal 13 14 3" xfId="1203"/>
    <cellStyle name="Normal 13 14 4" xfId="1204"/>
    <cellStyle name="Normal 13 15" xfId="1205"/>
    <cellStyle name="Normal 13 15 2" xfId="1206"/>
    <cellStyle name="Normal 13 15 2 2" xfId="1207"/>
    <cellStyle name="Normal 13 15 2 3" xfId="1208"/>
    <cellStyle name="Normal 13 15 3" xfId="1209"/>
    <cellStyle name="Normal 13 15 4" xfId="1210"/>
    <cellStyle name="Normal 13 16" xfId="1211"/>
    <cellStyle name="Normal 13 16 2" xfId="1212"/>
    <cellStyle name="Normal 13 16 2 2" xfId="1213"/>
    <cellStyle name="Normal 13 16 2 3" xfId="1214"/>
    <cellStyle name="Normal 13 16 3" xfId="1215"/>
    <cellStyle name="Normal 13 16 4" xfId="1216"/>
    <cellStyle name="Normal 13 17" xfId="1217"/>
    <cellStyle name="Normal 13 18" xfId="1218"/>
    <cellStyle name="Normal 13 19" xfId="1219"/>
    <cellStyle name="Normal 13 2" xfId="1220"/>
    <cellStyle name="Normal 13 2 2" xfId="1221"/>
    <cellStyle name="Normal 13 2 2 2" xfId="1222"/>
    <cellStyle name="Normal 13 2 2 2 2" xfId="1223"/>
    <cellStyle name="Normal 13 2 2 2 3" xfId="1224"/>
    <cellStyle name="Normal 13 2 2 3" xfId="1225"/>
    <cellStyle name="Normal 13 2 2 4" xfId="1226"/>
    <cellStyle name="Normal 13 2 3" xfId="1227"/>
    <cellStyle name="Normal 13 2 3 2" xfId="1228"/>
    <cellStyle name="Normal 13 2 3 2 2" xfId="1229"/>
    <cellStyle name="Normal 13 2 3 2 3" xfId="1230"/>
    <cellStyle name="Normal 13 2 3 3" xfId="1231"/>
    <cellStyle name="Normal 13 2 3 4" xfId="1232"/>
    <cellStyle name="Normal 13 2 4" xfId="1233"/>
    <cellStyle name="Normal 13 2 4 2" xfId="1234"/>
    <cellStyle name="Normal 13 2 4 2 2" xfId="1235"/>
    <cellStyle name="Normal 13 2 4 2 3" xfId="1236"/>
    <cellStyle name="Normal 13 2 4 3" xfId="1237"/>
    <cellStyle name="Normal 13 2 4 4" xfId="1238"/>
    <cellStyle name="Normal 13 2 5" xfId="1239"/>
    <cellStyle name="Normal 13 2 5 2" xfId="1240"/>
    <cellStyle name="Normal 13 2 5 2 2" xfId="1241"/>
    <cellStyle name="Normal 13 2 5 2 3" xfId="1242"/>
    <cellStyle name="Normal 13 2 5 3" xfId="1243"/>
    <cellStyle name="Normal 13 2 5 4" xfId="1244"/>
    <cellStyle name="Normal 13 2 6" xfId="1245"/>
    <cellStyle name="Normal 13 2 6 2" xfId="1246"/>
    <cellStyle name="Normal 13 2 6 2 2" xfId="1247"/>
    <cellStyle name="Normal 13 2 6 2 3" xfId="1248"/>
    <cellStyle name="Normal 13 2 6 3" xfId="1249"/>
    <cellStyle name="Normal 13 2 6 4" xfId="1250"/>
    <cellStyle name="Normal 13 2 7" xfId="1251"/>
    <cellStyle name="Normal 13 2 7 2" xfId="1252"/>
    <cellStyle name="Normal 13 2 7 2 2" xfId="1253"/>
    <cellStyle name="Normal 13 2 7 2 3" xfId="1254"/>
    <cellStyle name="Normal 13 2 7 3" xfId="1255"/>
    <cellStyle name="Normal 13 2 7 4" xfId="1256"/>
    <cellStyle name="Normal 13 2 8" xfId="1257"/>
    <cellStyle name="Normal 13 2 8 2" xfId="1258"/>
    <cellStyle name="Normal 13 2 8 2 2" xfId="1259"/>
    <cellStyle name="Normal 13 2 8 2 3" xfId="1260"/>
    <cellStyle name="Normal 13 2 8 3" xfId="1261"/>
    <cellStyle name="Normal 13 2 8 4" xfId="1262"/>
    <cellStyle name="Normal 13 20" xfId="1263"/>
    <cellStyle name="Normal 13 21" xfId="1264"/>
    <cellStyle name="Normal 13 22" xfId="1265"/>
    <cellStyle name="Normal 13 23" xfId="1266"/>
    <cellStyle name="Normal 13 23 2" xfId="1267"/>
    <cellStyle name="Normal 13 24" xfId="1268"/>
    <cellStyle name="Normal 13 24 2" xfId="1269"/>
    <cellStyle name="Normal 13 25" xfId="1270"/>
    <cellStyle name="Normal 13 25 2" xfId="1271"/>
    <cellStyle name="Normal 13 26" xfId="1272"/>
    <cellStyle name="Normal 13 26 2" xfId="1273"/>
    <cellStyle name="Normal 13 27" xfId="1274"/>
    <cellStyle name="Normal 13 27 2" xfId="1275"/>
    <cellStyle name="Normal 13 28" xfId="1276"/>
    <cellStyle name="Normal 13 28 2" xfId="1277"/>
    <cellStyle name="Normal 13 29" xfId="1278"/>
    <cellStyle name="Normal 13 29 2" xfId="1279"/>
    <cellStyle name="Normal 13 3" xfId="1280"/>
    <cellStyle name="Normal 13 3 2" xfId="1281"/>
    <cellStyle name="Normal 13 3 2 2" xfId="1282"/>
    <cellStyle name="Normal 13 3 2 3" xfId="1283"/>
    <cellStyle name="Normal 13 3 3" xfId="1284"/>
    <cellStyle name="Normal 13 3 4" xfId="1285"/>
    <cellStyle name="Normal 13 30" xfId="1286"/>
    <cellStyle name="Normal 13 30 2" xfId="1287"/>
    <cellStyle name="Normal 13 31" xfId="1288"/>
    <cellStyle name="Normal 13 31 2" xfId="1289"/>
    <cellStyle name="Normal 13 32" xfId="1290"/>
    <cellStyle name="Normal 13 32 2" xfId="1291"/>
    <cellStyle name="Normal 13 33" xfId="1292"/>
    <cellStyle name="Normal 13 33 2" xfId="1293"/>
    <cellStyle name="Normal 13 34" xfId="1294"/>
    <cellStyle name="Normal 13 34 2" xfId="1295"/>
    <cellStyle name="Normal 13 35" xfId="1296"/>
    <cellStyle name="Normal 13 35 2" xfId="1297"/>
    <cellStyle name="Normal 13 36" xfId="1298"/>
    <cellStyle name="Normal 13 36 2" xfId="1299"/>
    <cellStyle name="Normal 13 37" xfId="1300"/>
    <cellStyle name="Normal 13 37 2" xfId="1301"/>
    <cellStyle name="Normal 13 38" xfId="1302"/>
    <cellStyle name="Normal 13 38 2" xfId="1303"/>
    <cellStyle name="Normal 13 39" xfId="1304"/>
    <cellStyle name="Normal 13 4" xfId="1305"/>
    <cellStyle name="Normal 13 4 2" xfId="1306"/>
    <cellStyle name="Normal 13 4 2 2" xfId="1307"/>
    <cellStyle name="Normal 13 4 2 3" xfId="1308"/>
    <cellStyle name="Normal 13 4 3" xfId="1309"/>
    <cellStyle name="Normal 13 4 4" xfId="1310"/>
    <cellStyle name="Normal 13 5" xfId="1311"/>
    <cellStyle name="Normal 13 6" xfId="1312"/>
    <cellStyle name="Normal 13 7" xfId="1313"/>
    <cellStyle name="Normal 13 8" xfId="1314"/>
    <cellStyle name="Normal 13 9" xfId="1315"/>
    <cellStyle name="Normal 13 9 2" xfId="1316"/>
    <cellStyle name="Normal 13 9 2 2" xfId="1317"/>
    <cellStyle name="Normal 13 9 2 3" xfId="1318"/>
    <cellStyle name="Normal 13 9 3" xfId="1319"/>
    <cellStyle name="Normal 13 9 4" xfId="1320"/>
    <cellStyle name="Normal 14" xfId="1321"/>
    <cellStyle name="Normal 14 10" xfId="1322"/>
    <cellStyle name="Normal 14 10 2" xfId="1323"/>
    <cellStyle name="Normal 14 10 2 2" xfId="1324"/>
    <cellStyle name="Normal 14 10 2 3" xfId="1325"/>
    <cellStyle name="Normal 14 10 3" xfId="1326"/>
    <cellStyle name="Normal 14 10 4" xfId="1327"/>
    <cellStyle name="Normal 14 11" xfId="1328"/>
    <cellStyle name="Normal 14 11 2" xfId="1329"/>
    <cellStyle name="Normal 14 11 2 2" xfId="1330"/>
    <cellStyle name="Normal 14 11 2 3" xfId="1331"/>
    <cellStyle name="Normal 14 11 3" xfId="1332"/>
    <cellStyle name="Normal 14 11 4" xfId="1333"/>
    <cellStyle name="Normal 14 12" xfId="1334"/>
    <cellStyle name="Normal 14 12 2" xfId="1335"/>
    <cellStyle name="Normal 14 12 2 2" xfId="1336"/>
    <cellStyle name="Normal 14 12 2 3" xfId="1337"/>
    <cellStyle name="Normal 14 12 3" xfId="1338"/>
    <cellStyle name="Normal 14 12 4" xfId="1339"/>
    <cellStyle name="Normal 14 13" xfId="1340"/>
    <cellStyle name="Normal 14 13 2" xfId="1341"/>
    <cellStyle name="Normal 14 13 2 2" xfId="1342"/>
    <cellStyle name="Normal 14 13 2 3" xfId="1343"/>
    <cellStyle name="Normal 14 13 3" xfId="1344"/>
    <cellStyle name="Normal 14 13 4" xfId="1345"/>
    <cellStyle name="Normal 14 14" xfId="1346"/>
    <cellStyle name="Normal 14 14 2" xfId="1347"/>
    <cellStyle name="Normal 14 14 2 2" xfId="1348"/>
    <cellStyle name="Normal 14 14 2 3" xfId="1349"/>
    <cellStyle name="Normal 14 14 3" xfId="1350"/>
    <cellStyle name="Normal 14 14 4" xfId="1351"/>
    <cellStyle name="Normal 14 15" xfId="1352"/>
    <cellStyle name="Normal 14 15 2" xfId="1353"/>
    <cellStyle name="Normal 14 15 2 2" xfId="1354"/>
    <cellStyle name="Normal 14 15 2 3" xfId="1355"/>
    <cellStyle name="Normal 14 15 3" xfId="1356"/>
    <cellStyle name="Normal 14 15 4" xfId="1357"/>
    <cellStyle name="Normal 14 2" xfId="1358"/>
    <cellStyle name="Normal 14 2 10" xfId="1359"/>
    <cellStyle name="Normal 14 2 2" xfId="1360"/>
    <cellStyle name="Normal 14 2 2 2" xfId="1361"/>
    <cellStyle name="Normal 14 2 3" xfId="1362"/>
    <cellStyle name="Normal 14 2 3 2" xfId="1363"/>
    <cellStyle name="Normal 14 2 4" xfId="1364"/>
    <cellStyle name="Normal 14 2 4 2" xfId="1365"/>
    <cellStyle name="Normal 14 2 5" xfId="1366"/>
    <cellStyle name="Normal 14 2 5 2" xfId="1367"/>
    <cellStyle name="Normal 14 2 6" xfId="1368"/>
    <cellStyle name="Normal 14 2 6 2" xfId="1369"/>
    <cellStyle name="Normal 14 2 7" xfId="1370"/>
    <cellStyle name="Normal 14 2 7 2" xfId="1371"/>
    <cellStyle name="Normal 14 2 8" xfId="1372"/>
    <cellStyle name="Normal 14 2 8 2" xfId="1373"/>
    <cellStyle name="Normal 14 2 8 3" xfId="1374"/>
    <cellStyle name="Normal 14 2 9" xfId="1375"/>
    <cellStyle name="Normal 14 3" xfId="1376"/>
    <cellStyle name="Normal 14 3 2" xfId="1377"/>
    <cellStyle name="Normal 14 4" xfId="1378"/>
    <cellStyle name="Normal 14 4 2" xfId="1379"/>
    <cellStyle name="Normal 14 4 2 2" xfId="1380"/>
    <cellStyle name="Normal 14 4 2 3" xfId="1381"/>
    <cellStyle name="Normal 14 4 3" xfId="1382"/>
    <cellStyle name="Normal 14 4 4" xfId="1383"/>
    <cellStyle name="Normal 14 5" xfId="1384"/>
    <cellStyle name="Normal 14 5 2" xfId="1385"/>
    <cellStyle name="Normal 14 5 2 2" xfId="1386"/>
    <cellStyle name="Normal 14 5 2 3" xfId="1387"/>
    <cellStyle name="Normal 14 5 3" xfId="1388"/>
    <cellStyle name="Normal 14 5 4" xfId="1389"/>
    <cellStyle name="Normal 14 6" xfId="1390"/>
    <cellStyle name="Normal 14 6 2" xfId="1391"/>
    <cellStyle name="Normal 14 7" xfId="1392"/>
    <cellStyle name="Normal 14 7 2" xfId="1393"/>
    <cellStyle name="Normal 14 8" xfId="1394"/>
    <cellStyle name="Normal 14 8 2" xfId="1395"/>
    <cellStyle name="Normal 14 9" xfId="1396"/>
    <cellStyle name="Normal 14 9 2" xfId="1397"/>
    <cellStyle name="Normal 15" xfId="1398"/>
    <cellStyle name="Normal 15 2" xfId="1399"/>
    <cellStyle name="Normal 15 2 2" xfId="1400"/>
    <cellStyle name="Normal 15 3" xfId="1401"/>
    <cellStyle name="Normal 15 3 2" xfId="1402"/>
    <cellStyle name="Normal 15 4" xfId="1403"/>
    <cellStyle name="Normal 15 4 2" xfId="1404"/>
    <cellStyle name="Normal 15 5" xfId="1405"/>
    <cellStyle name="Normal 15 5 2" xfId="1406"/>
    <cellStyle name="Normal 15 6" xfId="1407"/>
    <cellStyle name="Normal 15 6 2" xfId="1408"/>
    <cellStyle name="Normal 16" xfId="1409"/>
    <cellStyle name="Normal 16 2" xfId="1410"/>
    <cellStyle name="Normal 16 2 2" xfId="1411"/>
    <cellStyle name="Normal 16 3" xfId="1412"/>
    <cellStyle name="Normal 16 3 2" xfId="1413"/>
    <cellStyle name="Normal 16 4" xfId="1414"/>
    <cellStyle name="Normal 16 4 2" xfId="1415"/>
    <cellStyle name="Normal 16 5" xfId="1416"/>
    <cellStyle name="Normal 16 5 2" xfId="1417"/>
    <cellStyle name="Normal 16 6" xfId="1418"/>
    <cellStyle name="Normal 16 6 2" xfId="1419"/>
    <cellStyle name="Normal 16 7" xfId="1420"/>
    <cellStyle name="Normal 16 7 2" xfId="1421"/>
    <cellStyle name="Normal 16 7 3" xfId="1422"/>
    <cellStyle name="Normal 16 8" xfId="1423"/>
    <cellStyle name="Normal 16 9" xfId="1424"/>
    <cellStyle name="Normal 17" xfId="1425"/>
    <cellStyle name="Normal 17 10" xfId="1426"/>
    <cellStyle name="Normal 17 10 2" xfId="1427"/>
    <cellStyle name="Normal 17 11" xfId="1428"/>
    <cellStyle name="Normal 17 11 2" xfId="1429"/>
    <cellStyle name="Normal 17 12" xfId="1430"/>
    <cellStyle name="Normal 17 12 2" xfId="1431"/>
    <cellStyle name="Normal 17 13" xfId="1432"/>
    <cellStyle name="Normal 17 13 2" xfId="1433"/>
    <cellStyle name="Normal 17 14" xfId="1434"/>
    <cellStyle name="Normal 17 14 2" xfId="1435"/>
    <cellStyle name="Normal 17 14 3" xfId="1436"/>
    <cellStyle name="Normal 17 15" xfId="1437"/>
    <cellStyle name="Normal 17 16" xfId="1438"/>
    <cellStyle name="Normal 17 2" xfId="1439"/>
    <cellStyle name="Normal 17 2 2" xfId="1440"/>
    <cellStyle name="Normal 17 3" xfId="1441"/>
    <cellStyle name="Normal 17 3 2" xfId="1442"/>
    <cellStyle name="Normal 17 4" xfId="1443"/>
    <cellStyle name="Normal 17 4 2" xfId="1444"/>
    <cellStyle name="Normal 17 5" xfId="1445"/>
    <cellStyle name="Normal 17 5 2" xfId="1446"/>
    <cellStyle name="Normal 17 6" xfId="1447"/>
    <cellStyle name="Normal 17 6 2" xfId="1448"/>
    <cellStyle name="Normal 17 7" xfId="1449"/>
    <cellStyle name="Normal 17 7 2" xfId="1450"/>
    <cellStyle name="Normal 17 8" xfId="1451"/>
    <cellStyle name="Normal 17 8 2" xfId="1452"/>
    <cellStyle name="Normal 17 9" xfId="1453"/>
    <cellStyle name="Normal 17 9 2" xfId="1454"/>
    <cellStyle name="Normal 18" xfId="1455"/>
    <cellStyle name="Normal 18 2" xfId="1456"/>
    <cellStyle name="Normal 18 2 2" xfId="1457"/>
    <cellStyle name="Normal 18 2 3" xfId="1458"/>
    <cellStyle name="Normal 18 3" xfId="1459"/>
    <cellStyle name="Normal 18 4" xfId="1460"/>
    <cellStyle name="Normal 19" xfId="1461"/>
    <cellStyle name="Normal 2" xfId="1462"/>
    <cellStyle name="Normal 2 10" xfId="1463"/>
    <cellStyle name="Normal 2 10 2" xfId="1464"/>
    <cellStyle name="Normal 2 11" xfId="1465"/>
    <cellStyle name="Normal 2 11 2" xfId="1466"/>
    <cellStyle name="Normal 2 12" xfId="1467"/>
    <cellStyle name="Normal 2 12 2" xfId="1468"/>
    <cellStyle name="Normal 2 13" xfId="1469"/>
    <cellStyle name="Normal 2 13 2" xfId="1470"/>
    <cellStyle name="Normal 2 14" xfId="1471"/>
    <cellStyle name="Normal 2 14 2" xfId="1472"/>
    <cellStyle name="Normal 2 15" xfId="1473"/>
    <cellStyle name="Normal 2 15 2" xfId="1474"/>
    <cellStyle name="Normal 2 16" xfId="1475"/>
    <cellStyle name="Normal 2 16 2" xfId="1476"/>
    <cellStyle name="Normal 2 17" xfId="1477"/>
    <cellStyle name="Normal 2 17 2" xfId="1478"/>
    <cellStyle name="Normal 2 18" xfId="1479"/>
    <cellStyle name="Normal 2 18 2" xfId="1480"/>
    <cellStyle name="Normal 2 18 3" xfId="1481"/>
    <cellStyle name="Normal 2 19" xfId="1482"/>
    <cellStyle name="Normal 2 2" xfId="1483"/>
    <cellStyle name="Normal 2 2 10" xfId="1484"/>
    <cellStyle name="Normal 2 2 10 2" xfId="1485"/>
    <cellStyle name="Normal 2 2 10 2 2" xfId="1486"/>
    <cellStyle name="Normal 2 2 10 2 3" xfId="1487"/>
    <cellStyle name="Normal 2 2 10 3" xfId="1488"/>
    <cellStyle name="Normal 2 2 10 4" xfId="1489"/>
    <cellStyle name="Normal 2 2 11" xfId="1490"/>
    <cellStyle name="Normal 2 2 11 2" xfId="1491"/>
    <cellStyle name="Normal 2 2 11 2 2" xfId="1492"/>
    <cellStyle name="Normal 2 2 11 2 3" xfId="1493"/>
    <cellStyle name="Normal 2 2 11 3" xfId="1494"/>
    <cellStyle name="Normal 2 2 11 4" xfId="1495"/>
    <cellStyle name="Normal 2 2 12" xfId="1496"/>
    <cellStyle name="Normal 2 2 12 2" xfId="1497"/>
    <cellStyle name="Normal 2 2 12 2 2" xfId="1498"/>
    <cellStyle name="Normal 2 2 12 2 3" xfId="1499"/>
    <cellStyle name="Normal 2 2 12 3" xfId="1500"/>
    <cellStyle name="Normal 2 2 12 4" xfId="1501"/>
    <cellStyle name="Normal 2 2 13" xfId="1502"/>
    <cellStyle name="Normal 2 2 13 2" xfId="1503"/>
    <cellStyle name="Normal 2 2 13 2 2" xfId="1504"/>
    <cellStyle name="Normal 2 2 13 2 3" xfId="1505"/>
    <cellStyle name="Normal 2 2 13 3" xfId="1506"/>
    <cellStyle name="Normal 2 2 13 4" xfId="1507"/>
    <cellStyle name="Normal 2 2 14" xfId="1508"/>
    <cellStyle name="Normal 2 2 14 2" xfId="1509"/>
    <cellStyle name="Normal 2 2 15" xfId="1510"/>
    <cellStyle name="Normal 2 2 16" xfId="1511"/>
    <cellStyle name="Normal 2 2 2" xfId="1512"/>
    <cellStyle name="Normal 2 2 2 2" xfId="1513"/>
    <cellStyle name="Normal 2 2 2 2 2" xfId="1514"/>
    <cellStyle name="Normal 2 2 2 2 3" xfId="1515"/>
    <cellStyle name="Normal 2 2 2 3" xfId="1516"/>
    <cellStyle name="Normal 2 2 2 4" xfId="1517"/>
    <cellStyle name="Normal 2 2 2 5" xfId="1518"/>
    <cellStyle name="Normal 2 2 3" xfId="1519"/>
    <cellStyle name="Normal 2 2 3 2" xfId="1520"/>
    <cellStyle name="Normal 2 2 3 2 2" xfId="1521"/>
    <cellStyle name="Normal 2 2 3 2 3" xfId="1522"/>
    <cellStyle name="Normal 2 2 3 3" xfId="1523"/>
    <cellStyle name="Normal 2 2 3 4" xfId="1524"/>
    <cellStyle name="Normal 2 2 3 5" xfId="1525"/>
    <cellStyle name="Normal 2 2 4" xfId="1526"/>
    <cellStyle name="Normal 2 2 4 2" xfId="1527"/>
    <cellStyle name="Normal 2 2 4 2 2" xfId="1528"/>
    <cellStyle name="Normal 2 2 4 2 3" xfId="1529"/>
    <cellStyle name="Normal 2 2 4 3" xfId="1530"/>
    <cellStyle name="Normal 2 2 4 4" xfId="1531"/>
    <cellStyle name="Normal 2 2 5" xfId="1532"/>
    <cellStyle name="Normal 2 2 5 2" xfId="1533"/>
    <cellStyle name="Normal 2 2 5 2 2" xfId="1534"/>
    <cellStyle name="Normal 2 2 5 2 3" xfId="1535"/>
    <cellStyle name="Normal 2 2 5 3" xfId="1536"/>
    <cellStyle name="Normal 2 2 5 4" xfId="1537"/>
    <cellStyle name="Normal 2 2 6" xfId="1538"/>
    <cellStyle name="Normal 2 2 6 2" xfId="1539"/>
    <cellStyle name="Normal 2 2 6 2 2" xfId="1540"/>
    <cellStyle name="Normal 2 2 6 2 3" xfId="1541"/>
    <cellStyle name="Normal 2 2 6 3" xfId="1542"/>
    <cellStyle name="Normal 2 2 6 4" xfId="1543"/>
    <cellStyle name="Normal 2 2 7" xfId="1544"/>
    <cellStyle name="Normal 2 2 7 2" xfId="1545"/>
    <cellStyle name="Normal 2 2 7 2 2" xfId="1546"/>
    <cellStyle name="Normal 2 2 7 2 3" xfId="1547"/>
    <cellStyle name="Normal 2 2 7 3" xfId="1548"/>
    <cellStyle name="Normal 2 2 7 4" xfId="1549"/>
    <cellStyle name="Normal 2 2 8" xfId="1550"/>
    <cellStyle name="Normal 2 2 8 2" xfId="1551"/>
    <cellStyle name="Normal 2 2 8 2 2" xfId="1552"/>
    <cellStyle name="Normal 2 2 8 2 3" xfId="1553"/>
    <cellStyle name="Normal 2 2 8 3" xfId="1554"/>
    <cellStyle name="Normal 2 2 8 4" xfId="1555"/>
    <cellStyle name="Normal 2 2 9" xfId="1556"/>
    <cellStyle name="Normal 2 2 9 2" xfId="1557"/>
    <cellStyle name="Normal 2 2 9 2 2" xfId="1558"/>
    <cellStyle name="Normal 2 2 9 2 3" xfId="1559"/>
    <cellStyle name="Normal 2 2 9 3" xfId="1560"/>
    <cellStyle name="Normal 2 2 9 4" xfId="1561"/>
    <cellStyle name="Normal 2 20" xfId="1562"/>
    <cellStyle name="Normal 2 21" xfId="1563"/>
    <cellStyle name="Normal 2 22" xfId="1564"/>
    <cellStyle name="Normal 2 23" xfId="1565"/>
    <cellStyle name="Normal 2 3" xfId="1566"/>
    <cellStyle name="Normal 2 3 10" xfId="1567"/>
    <cellStyle name="Normal 2 3 10 2" xfId="1568"/>
    <cellStyle name="Normal 2 3 10 2 2" xfId="1569"/>
    <cellStyle name="Normal 2 3 10 2 3" xfId="1570"/>
    <cellStyle name="Normal 2 3 10 3" xfId="1571"/>
    <cellStyle name="Normal 2 3 10 4" xfId="1572"/>
    <cellStyle name="Normal 2 3 11" xfId="1573"/>
    <cellStyle name="Normal 2 3 11 2" xfId="1574"/>
    <cellStyle name="Normal 2 3 11 2 2" xfId="1575"/>
    <cellStyle name="Normal 2 3 11 2 3" xfId="1576"/>
    <cellStyle name="Normal 2 3 11 3" xfId="1577"/>
    <cellStyle name="Normal 2 3 11 4" xfId="1578"/>
    <cellStyle name="Normal 2 3 12" xfId="1579"/>
    <cellStyle name="Normal 2 3 12 2" xfId="1580"/>
    <cellStyle name="Normal 2 3 12 2 2" xfId="1581"/>
    <cellStyle name="Normal 2 3 12 2 3" xfId="1582"/>
    <cellStyle name="Normal 2 3 12 3" xfId="1583"/>
    <cellStyle name="Normal 2 3 12 4" xfId="1584"/>
    <cellStyle name="Normal 2 3 13" xfId="1585"/>
    <cellStyle name="Normal 2 3 13 2" xfId="1586"/>
    <cellStyle name="Normal 2 3 13 2 2" xfId="1587"/>
    <cellStyle name="Normal 2 3 13 2 3" xfId="1588"/>
    <cellStyle name="Normal 2 3 13 3" xfId="1589"/>
    <cellStyle name="Normal 2 3 13 4" xfId="1590"/>
    <cellStyle name="Normal 2 3 14" xfId="1591"/>
    <cellStyle name="Normal 2 3 15" xfId="1592"/>
    <cellStyle name="Normal 2 3 16" xfId="1593"/>
    <cellStyle name="Normal 2 3 2" xfId="1594"/>
    <cellStyle name="Normal 2 3 2 2" xfId="1595"/>
    <cellStyle name="Normal 2 3 2 2 2" xfId="1596"/>
    <cellStyle name="Normal 2 3 2 2 3" xfId="1597"/>
    <cellStyle name="Normal 2 3 2 3" xfId="1598"/>
    <cellStyle name="Normal 2 3 2 4" xfId="1599"/>
    <cellStyle name="Normal 2 3 2 5" xfId="1600"/>
    <cellStyle name="Normal 2 3 3" xfId="1601"/>
    <cellStyle name="Normal 2 3 3 2" xfId="1602"/>
    <cellStyle name="Normal 2 3 3 2 2" xfId="1603"/>
    <cellStyle name="Normal 2 3 3 2 3" xfId="1604"/>
    <cellStyle name="Normal 2 3 3 3" xfId="1605"/>
    <cellStyle name="Normal 2 3 3 4" xfId="1606"/>
    <cellStyle name="Normal 2 3 3 5" xfId="1607"/>
    <cellStyle name="Normal 2 3 4" xfId="1608"/>
    <cellStyle name="Normal 2 3 4 2" xfId="1609"/>
    <cellStyle name="Normal 2 3 4 2 2" xfId="1610"/>
    <cellStyle name="Normal 2 3 4 2 3" xfId="1611"/>
    <cellStyle name="Normal 2 3 4 3" xfId="1612"/>
    <cellStyle name="Normal 2 3 4 4" xfId="1613"/>
    <cellStyle name="Normal 2 3 5" xfId="1614"/>
    <cellStyle name="Normal 2 3 5 2" xfId="1615"/>
    <cellStyle name="Normal 2 3 5 2 2" xfId="1616"/>
    <cellStyle name="Normal 2 3 5 2 3" xfId="1617"/>
    <cellStyle name="Normal 2 3 5 3" xfId="1618"/>
    <cellStyle name="Normal 2 3 5 4" xfId="1619"/>
    <cellStyle name="Normal 2 3 6" xfId="1620"/>
    <cellStyle name="Normal 2 3 6 2" xfId="1621"/>
    <cellStyle name="Normal 2 3 6 2 2" xfId="1622"/>
    <cellStyle name="Normal 2 3 6 2 3" xfId="1623"/>
    <cellStyle name="Normal 2 3 6 3" xfId="1624"/>
    <cellStyle name="Normal 2 3 6 4" xfId="1625"/>
    <cellStyle name="Normal 2 3 7" xfId="1626"/>
    <cellStyle name="Normal 2 3 7 2" xfId="1627"/>
    <cellStyle name="Normal 2 3 7 2 2" xfId="1628"/>
    <cellStyle name="Normal 2 3 7 2 3" xfId="1629"/>
    <cellStyle name="Normal 2 3 7 3" xfId="1630"/>
    <cellStyle name="Normal 2 3 7 4" xfId="1631"/>
    <cellStyle name="Normal 2 3 8" xfId="1632"/>
    <cellStyle name="Normal 2 3 8 2" xfId="1633"/>
    <cellStyle name="Normal 2 3 8 2 2" xfId="1634"/>
    <cellStyle name="Normal 2 3 8 2 3" xfId="1635"/>
    <cellStyle name="Normal 2 3 8 3" xfId="1636"/>
    <cellStyle name="Normal 2 3 8 4" xfId="1637"/>
    <cellStyle name="Normal 2 3 9" xfId="1638"/>
    <cellStyle name="Normal 2 3 9 2" xfId="1639"/>
    <cellStyle name="Normal 2 3 9 2 2" xfId="1640"/>
    <cellStyle name="Normal 2 3 9 2 3" xfId="1641"/>
    <cellStyle name="Normal 2 3 9 3" xfId="1642"/>
    <cellStyle name="Normal 2 3 9 4" xfId="1643"/>
    <cellStyle name="Normal 2 4" xfId="1644"/>
    <cellStyle name="Normal 2 4 10" xfId="1645"/>
    <cellStyle name="Normal 2 4 10 2" xfId="1646"/>
    <cellStyle name="Normal 2 4 10 2 2" xfId="1647"/>
    <cellStyle name="Normal 2 4 10 2 3" xfId="1648"/>
    <cellStyle name="Normal 2 4 10 3" xfId="1649"/>
    <cellStyle name="Normal 2 4 10 4" xfId="1650"/>
    <cellStyle name="Normal 2 4 11" xfId="1651"/>
    <cellStyle name="Normal 2 4 11 2" xfId="1652"/>
    <cellStyle name="Normal 2 4 11 2 2" xfId="1653"/>
    <cellStyle name="Normal 2 4 11 2 3" xfId="1654"/>
    <cellStyle name="Normal 2 4 11 3" xfId="1655"/>
    <cellStyle name="Normal 2 4 11 4" xfId="1656"/>
    <cellStyle name="Normal 2 4 12" xfId="1657"/>
    <cellStyle name="Normal 2 4 12 2" xfId="1658"/>
    <cellStyle name="Normal 2 4 12 2 2" xfId="1659"/>
    <cellStyle name="Normal 2 4 12 2 3" xfId="1660"/>
    <cellStyle name="Normal 2 4 12 3" xfId="1661"/>
    <cellStyle name="Normal 2 4 12 4" xfId="1662"/>
    <cellStyle name="Normal 2 4 13" xfId="1663"/>
    <cellStyle name="Normal 2 4 13 2" xfId="1664"/>
    <cellStyle name="Normal 2 4 13 2 2" xfId="1665"/>
    <cellStyle name="Normal 2 4 13 2 3" xfId="1666"/>
    <cellStyle name="Normal 2 4 13 3" xfId="1667"/>
    <cellStyle name="Normal 2 4 13 4" xfId="1668"/>
    <cellStyle name="Normal 2 4 14" xfId="1669"/>
    <cellStyle name="Normal 2 4 15" xfId="1670"/>
    <cellStyle name="Normal 2 4 2" xfId="1671"/>
    <cellStyle name="Normal 2 4 2 2" xfId="1672"/>
    <cellStyle name="Normal 2 4 2 2 2" xfId="1673"/>
    <cellStyle name="Normal 2 4 2 2 3" xfId="1674"/>
    <cellStyle name="Normal 2 4 2 3" xfId="1675"/>
    <cellStyle name="Normal 2 4 2 4" xfId="1676"/>
    <cellStyle name="Normal 2 4 3" xfId="1677"/>
    <cellStyle name="Normal 2 4 3 2" xfId="1678"/>
    <cellStyle name="Normal 2 4 3 2 2" xfId="1679"/>
    <cellStyle name="Normal 2 4 3 2 3" xfId="1680"/>
    <cellStyle name="Normal 2 4 3 3" xfId="1681"/>
    <cellStyle name="Normal 2 4 3 4" xfId="1682"/>
    <cellStyle name="Normal 2 4 4" xfId="1683"/>
    <cellStyle name="Normal 2 4 4 2" xfId="1684"/>
    <cellStyle name="Normal 2 4 4 2 2" xfId="1685"/>
    <cellStyle name="Normal 2 4 4 2 3" xfId="1686"/>
    <cellStyle name="Normal 2 4 4 3" xfId="1687"/>
    <cellStyle name="Normal 2 4 4 4" xfId="1688"/>
    <cellStyle name="Normal 2 4 5" xfId="1689"/>
    <cellStyle name="Normal 2 4 5 2" xfId="1690"/>
    <cellStyle name="Normal 2 4 5 2 2" xfId="1691"/>
    <cellStyle name="Normal 2 4 5 2 3" xfId="1692"/>
    <cellStyle name="Normal 2 4 5 3" xfId="1693"/>
    <cellStyle name="Normal 2 4 5 4" xfId="1694"/>
    <cellStyle name="Normal 2 4 6" xfId="1695"/>
    <cellStyle name="Normal 2 4 6 2" xfId="1696"/>
    <cellStyle name="Normal 2 4 6 2 2" xfId="1697"/>
    <cellStyle name="Normal 2 4 6 2 3" xfId="1698"/>
    <cellStyle name="Normal 2 4 6 3" xfId="1699"/>
    <cellStyle name="Normal 2 4 6 4" xfId="1700"/>
    <cellStyle name="Normal 2 4 7" xfId="1701"/>
    <cellStyle name="Normal 2 4 7 2" xfId="1702"/>
    <cellStyle name="Normal 2 4 7 2 2" xfId="1703"/>
    <cellStyle name="Normal 2 4 7 2 3" xfId="1704"/>
    <cellStyle name="Normal 2 4 7 3" xfId="1705"/>
    <cellStyle name="Normal 2 4 7 4" xfId="1706"/>
    <cellStyle name="Normal 2 4 8" xfId="1707"/>
    <cellStyle name="Normal 2 4 8 2" xfId="1708"/>
    <cellStyle name="Normal 2 4 8 2 2" xfId="1709"/>
    <cellStyle name="Normal 2 4 8 2 3" xfId="1710"/>
    <cellStyle name="Normal 2 4 8 3" xfId="1711"/>
    <cellStyle name="Normal 2 4 8 4" xfId="1712"/>
    <cellStyle name="Normal 2 4 9" xfId="1713"/>
    <cellStyle name="Normal 2 4 9 2" xfId="1714"/>
    <cellStyle name="Normal 2 4 9 2 2" xfId="1715"/>
    <cellStyle name="Normal 2 4 9 2 3" xfId="1716"/>
    <cellStyle name="Normal 2 4 9 3" xfId="1717"/>
    <cellStyle name="Normal 2 4 9 4" xfId="1718"/>
    <cellStyle name="Normal 2 5" xfId="1719"/>
    <cellStyle name="Normal 2 5 2" xfId="1720"/>
    <cellStyle name="Normal 2 5 3" xfId="1721"/>
    <cellStyle name="Normal 2 6" xfId="1722"/>
    <cellStyle name="Normal 2 6 2" xfId="1723"/>
    <cellStyle name="Normal 2 6 3" xfId="1724"/>
    <cellStyle name="Normal 2 7" xfId="1725"/>
    <cellStyle name="Normal 2 7 2" xfId="1726"/>
    <cellStyle name="Normal 2 7 3" xfId="1727"/>
    <cellStyle name="Normal 2 8" xfId="1728"/>
    <cellStyle name="Normal 2 8 2" xfId="1729"/>
    <cellStyle name="Normal 2 8 3" xfId="1730"/>
    <cellStyle name="Normal 2 9" xfId="1731"/>
    <cellStyle name="Normal 2 9 2" xfId="1732"/>
    <cellStyle name="Normal 2_OTHsectors" xfId="1733"/>
    <cellStyle name="Normal 20" xfId="1734"/>
    <cellStyle name="Normal 21" xfId="1735"/>
    <cellStyle name="Normal 21 2" xfId="1736"/>
    <cellStyle name="Normal 26" xfId="1737"/>
    <cellStyle name="Normal 26 2" xfId="1738"/>
    <cellStyle name="Normal 3" xfId="1739"/>
    <cellStyle name="Normal 3 10" xfId="1740"/>
    <cellStyle name="Normal 3 10 2" xfId="1741"/>
    <cellStyle name="Normal 3 11" xfId="1742"/>
    <cellStyle name="Normal 3 11 2" xfId="1743"/>
    <cellStyle name="Normal 3 12" xfId="1744"/>
    <cellStyle name="Normal 3 12 2" xfId="1745"/>
    <cellStyle name="Normal 3 13" xfId="1746"/>
    <cellStyle name="Normal 3 13 2" xfId="1747"/>
    <cellStyle name="Normal 3 14" xfId="1748"/>
    <cellStyle name="Normal 3 14 2" xfId="1749"/>
    <cellStyle name="Normal 3 14 3" xfId="1750"/>
    <cellStyle name="Normal 3 15" xfId="1751"/>
    <cellStyle name="Normal 3 16" xfId="1752"/>
    <cellStyle name="Normal 3 17" xfId="1753"/>
    <cellStyle name="Normal 3 18" xfId="1754"/>
    <cellStyle name="Normal 3 2" xfId="1755"/>
    <cellStyle name="Normal 3 2 10" xfId="1756"/>
    <cellStyle name="Normal 3 2 11" xfId="1757"/>
    <cellStyle name="Normal 3 2 2" xfId="1758"/>
    <cellStyle name="Normal 3 2 2 2" xfId="1759"/>
    <cellStyle name="Normal 3 2 2 3" xfId="1760"/>
    <cellStyle name="Normal 3 2 3" xfId="1761"/>
    <cellStyle name="Normal 3 2 3 2" xfId="1762"/>
    <cellStyle name="Normal 3 2 4" xfId="1763"/>
    <cellStyle name="Normal 3 2 4 2" xfId="1764"/>
    <cellStyle name="Normal 3 2 5" xfId="1765"/>
    <cellStyle name="Normal 3 2 5 2" xfId="1766"/>
    <cellStyle name="Normal 3 2 6" xfId="1767"/>
    <cellStyle name="Normal 3 2 6 2" xfId="1768"/>
    <cellStyle name="Normal 3 2 7" xfId="1769"/>
    <cellStyle name="Normal 3 2 7 2" xfId="1770"/>
    <cellStyle name="Normal 3 2 8" xfId="1771"/>
    <cellStyle name="Normal 3 2 8 2" xfId="1772"/>
    <cellStyle name="Normal 3 2 9" xfId="1773"/>
    <cellStyle name="Normal 3 3" xfId="1774"/>
    <cellStyle name="Normal 3 3 10" xfId="1775"/>
    <cellStyle name="Normal 3 3 2" xfId="1776"/>
    <cellStyle name="Normal 3 3 2 2" xfId="1777"/>
    <cellStyle name="Normal 3 3 3" xfId="1778"/>
    <cellStyle name="Normal 3 3 3 2" xfId="1779"/>
    <cellStyle name="Normal 3 3 4" xfId="1780"/>
    <cellStyle name="Normal 3 3 4 2" xfId="1781"/>
    <cellStyle name="Normal 3 3 5" xfId="1782"/>
    <cellStyle name="Normal 3 3 5 2" xfId="1783"/>
    <cellStyle name="Normal 3 3 6" xfId="1784"/>
    <cellStyle name="Normal 3 3 6 2" xfId="1785"/>
    <cellStyle name="Normal 3 3 7" xfId="1786"/>
    <cellStyle name="Normal 3 3 7 2" xfId="1787"/>
    <cellStyle name="Normal 3 3 8" xfId="1788"/>
    <cellStyle name="Normal 3 3 8 2" xfId="1789"/>
    <cellStyle name="Normal 3 3 9" xfId="1790"/>
    <cellStyle name="Normal 3 4" xfId="1791"/>
    <cellStyle name="Normal 3 4 10" xfId="1792"/>
    <cellStyle name="Normal 3 4 2" xfId="1793"/>
    <cellStyle name="Normal 3 4 2 2" xfId="1794"/>
    <cellStyle name="Normal 3 4 2 3" xfId="1795"/>
    <cellStyle name="Normal 3 4 3" xfId="1796"/>
    <cellStyle name="Normal 3 4 3 2" xfId="1797"/>
    <cellStyle name="Normal 3 4 4" xfId="1798"/>
    <cellStyle name="Normal 3 4 4 2" xfId="1799"/>
    <cellStyle name="Normal 3 4 5" xfId="1800"/>
    <cellStyle name="Normal 3 4 5 2" xfId="1801"/>
    <cellStyle name="Normal 3 4 6" xfId="1802"/>
    <cellStyle name="Normal 3 4 6 2" xfId="1803"/>
    <cellStyle name="Normal 3 4 7" xfId="1804"/>
    <cellStyle name="Normal 3 4 7 2" xfId="1805"/>
    <cellStyle name="Normal 3 4 8" xfId="1806"/>
    <cellStyle name="Normal 3 4 8 2" xfId="1807"/>
    <cellStyle name="Normal 3 4 9" xfId="1808"/>
    <cellStyle name="Normal 3 5" xfId="1809"/>
    <cellStyle name="Normal 3 5 10" xfId="1810"/>
    <cellStyle name="Normal 3 5 2" xfId="1811"/>
    <cellStyle name="Normal 3 5 2 2" xfId="1812"/>
    <cellStyle name="Normal 3 5 3" xfId="1813"/>
    <cellStyle name="Normal 3 5 3 2" xfId="1814"/>
    <cellStyle name="Normal 3 5 4" xfId="1815"/>
    <cellStyle name="Normal 3 5 4 2" xfId="1816"/>
    <cellStyle name="Normal 3 5 5" xfId="1817"/>
    <cellStyle name="Normal 3 5 5 2" xfId="1818"/>
    <cellStyle name="Normal 3 5 6" xfId="1819"/>
    <cellStyle name="Normal 3 5 6 2" xfId="1820"/>
    <cellStyle name="Normal 3 5 7" xfId="1821"/>
    <cellStyle name="Normal 3 5 7 2" xfId="1822"/>
    <cellStyle name="Normal 3 5 8" xfId="1823"/>
    <cellStyle name="Normal 3 5 8 2" xfId="1824"/>
    <cellStyle name="Normal 3 5 9" xfId="1825"/>
    <cellStyle name="Normal 3 6" xfId="1826"/>
    <cellStyle name="Normal 3 6 2" xfId="1827"/>
    <cellStyle name="Normal 3 6 3" xfId="1828"/>
    <cellStyle name="Normal 3 7" xfId="1829"/>
    <cellStyle name="Normal 3 7 2" xfId="1830"/>
    <cellStyle name="Normal 3 8" xfId="1831"/>
    <cellStyle name="Normal 3 8 2" xfId="1832"/>
    <cellStyle name="Normal 3 9" xfId="1833"/>
    <cellStyle name="Normal 3 9 2" xfId="1834"/>
    <cellStyle name="Normal 4" xfId="1835"/>
    <cellStyle name="Normal 4 10" xfId="1836"/>
    <cellStyle name="Normal 4 10 2" xfId="1837"/>
    <cellStyle name="Normal 4 11" xfId="1838"/>
    <cellStyle name="Normal 4 11 2" xfId="1839"/>
    <cellStyle name="Normal 4 12" xfId="1840"/>
    <cellStyle name="Normal 4 12 2" xfId="1841"/>
    <cellStyle name="Normal 4 13" xfId="1842"/>
    <cellStyle name="Normal 4 14" xfId="1843"/>
    <cellStyle name="Normal 4 15" xfId="1844"/>
    <cellStyle name="Normal 4 2" xfId="1845"/>
    <cellStyle name="Normal 4 2 10" xfId="1846"/>
    <cellStyle name="Normal 4 2 2" xfId="1847"/>
    <cellStyle name="Normal 4 2 2 10" xfId="1848"/>
    <cellStyle name="Normal 4 2 2 10 2" xfId="1849"/>
    <cellStyle name="Normal 4 2 2 10 2 2" xfId="1850"/>
    <cellStyle name="Normal 4 2 2 10 2 3" xfId="1851"/>
    <cellStyle name="Normal 4 2 2 10 3" xfId="1852"/>
    <cellStyle name="Normal 4 2 2 10 4" xfId="1853"/>
    <cellStyle name="Normal 4 2 2 11" xfId="1854"/>
    <cellStyle name="Normal 4 2 2 11 2" xfId="1855"/>
    <cellStyle name="Normal 4 2 2 11 2 2" xfId="1856"/>
    <cellStyle name="Normal 4 2 2 11 2 3" xfId="1857"/>
    <cellStyle name="Normal 4 2 2 11 3" xfId="1858"/>
    <cellStyle name="Normal 4 2 2 11 4" xfId="1859"/>
    <cellStyle name="Normal 4 2 2 12" xfId="1860"/>
    <cellStyle name="Normal 4 2 2 12 2" xfId="1861"/>
    <cellStyle name="Normal 4 2 2 12 2 2" xfId="1862"/>
    <cellStyle name="Normal 4 2 2 12 2 3" xfId="1863"/>
    <cellStyle name="Normal 4 2 2 12 3" xfId="1864"/>
    <cellStyle name="Normal 4 2 2 12 4" xfId="1865"/>
    <cellStyle name="Normal 4 2 2 13" xfId="1866"/>
    <cellStyle name="Normal 4 2 2 13 2" xfId="1867"/>
    <cellStyle name="Normal 4 2 2 13 2 2" xfId="1868"/>
    <cellStyle name="Normal 4 2 2 13 2 3" xfId="1869"/>
    <cellStyle name="Normal 4 2 2 13 3" xfId="1870"/>
    <cellStyle name="Normal 4 2 2 13 4" xfId="1871"/>
    <cellStyle name="Normal 4 2 2 14" xfId="1872"/>
    <cellStyle name="Normal 4 2 2 2" xfId="1873"/>
    <cellStyle name="Normal 4 2 2 2 10" xfId="1874"/>
    <cellStyle name="Normal 4 2 2 2 10 2" xfId="1875"/>
    <cellStyle name="Normal 4 2 2 2 11" xfId="1876"/>
    <cellStyle name="Normal 4 2 2 2 11 2" xfId="1877"/>
    <cellStyle name="Normal 4 2 2 2 12" xfId="1878"/>
    <cellStyle name="Normal 4 2 2 2 12 2" xfId="1879"/>
    <cellStyle name="Normal 4 2 2 2 13" xfId="1880"/>
    <cellStyle name="Normal 4 2 2 2 13 2" xfId="1881"/>
    <cellStyle name="Normal 4 2 2 2 14" xfId="1882"/>
    <cellStyle name="Normal 4 2 2 2 14 2" xfId="1883"/>
    <cellStyle name="Normal 4 2 2 2 14 3" xfId="1884"/>
    <cellStyle name="Normal 4 2 2 2 15" xfId="1885"/>
    <cellStyle name="Normal 4 2 2 2 16" xfId="1886"/>
    <cellStyle name="Normal 4 2 2 2 2" xfId="1887"/>
    <cellStyle name="Normal 4 2 2 2 2 2" xfId="1888"/>
    <cellStyle name="Normal 4 2 2 2 3" xfId="1889"/>
    <cellStyle name="Normal 4 2 2 2 3 2" xfId="1890"/>
    <cellStyle name="Normal 4 2 2 2 4" xfId="1891"/>
    <cellStyle name="Normal 4 2 2 2 4 2" xfId="1892"/>
    <cellStyle name="Normal 4 2 2 2 5" xfId="1893"/>
    <cellStyle name="Normal 4 2 2 2 5 2" xfId="1894"/>
    <cellStyle name="Normal 4 2 2 2 6" xfId="1895"/>
    <cellStyle name="Normal 4 2 2 2 6 2" xfId="1896"/>
    <cellStyle name="Normal 4 2 2 2 7" xfId="1897"/>
    <cellStyle name="Normal 4 2 2 2 7 2" xfId="1898"/>
    <cellStyle name="Normal 4 2 2 2 8" xfId="1899"/>
    <cellStyle name="Normal 4 2 2 2 8 2" xfId="1900"/>
    <cellStyle name="Normal 4 2 2 2 9" xfId="1901"/>
    <cellStyle name="Normal 4 2 2 2 9 2" xfId="1902"/>
    <cellStyle name="Normal 4 2 2 3" xfId="1903"/>
    <cellStyle name="Normal 4 2 2 3 2" xfId="1904"/>
    <cellStyle name="Normal 4 2 2 3 2 2" xfId="1905"/>
    <cellStyle name="Normal 4 2 2 3 2 3" xfId="1906"/>
    <cellStyle name="Normal 4 2 2 3 3" xfId="1907"/>
    <cellStyle name="Normal 4 2 2 3 4" xfId="1908"/>
    <cellStyle name="Normal 4 2 2 4" xfId="1909"/>
    <cellStyle name="Normal 4 2 2 4 2" xfId="1910"/>
    <cellStyle name="Normal 4 2 2 4 2 2" xfId="1911"/>
    <cellStyle name="Normal 4 2 2 4 2 3" xfId="1912"/>
    <cellStyle name="Normal 4 2 2 4 3" xfId="1913"/>
    <cellStyle name="Normal 4 2 2 4 4" xfId="1914"/>
    <cellStyle name="Normal 4 2 2 5" xfId="1915"/>
    <cellStyle name="Normal 4 2 2 5 2" xfId="1916"/>
    <cellStyle name="Normal 4 2 2 5 2 2" xfId="1917"/>
    <cellStyle name="Normal 4 2 2 5 2 3" xfId="1918"/>
    <cellStyle name="Normal 4 2 2 5 3" xfId="1919"/>
    <cellStyle name="Normal 4 2 2 5 4" xfId="1920"/>
    <cellStyle name="Normal 4 2 2 6" xfId="1921"/>
    <cellStyle name="Normal 4 2 2 6 2" xfId="1922"/>
    <cellStyle name="Normal 4 2 2 6 2 2" xfId="1923"/>
    <cellStyle name="Normal 4 2 2 6 2 3" xfId="1924"/>
    <cellStyle name="Normal 4 2 2 6 3" xfId="1925"/>
    <cellStyle name="Normal 4 2 2 6 4" xfId="1926"/>
    <cellStyle name="Normal 4 2 2 7" xfId="1927"/>
    <cellStyle name="Normal 4 2 2 7 2" xfId="1928"/>
    <cellStyle name="Normal 4 2 2 7 2 2" xfId="1929"/>
    <cellStyle name="Normal 4 2 2 7 2 3" xfId="1930"/>
    <cellStyle name="Normal 4 2 2 7 3" xfId="1931"/>
    <cellStyle name="Normal 4 2 2 7 4" xfId="1932"/>
    <cellStyle name="Normal 4 2 2 8" xfId="1933"/>
    <cellStyle name="Normal 4 2 2 8 2" xfId="1934"/>
    <cellStyle name="Normal 4 2 2 8 2 2" xfId="1935"/>
    <cellStyle name="Normal 4 2 2 8 2 3" xfId="1936"/>
    <cellStyle name="Normal 4 2 2 8 3" xfId="1937"/>
    <cellStyle name="Normal 4 2 2 8 4" xfId="1938"/>
    <cellStyle name="Normal 4 2 2 9" xfId="1939"/>
    <cellStyle name="Normal 4 2 2 9 2" xfId="1940"/>
    <cellStyle name="Normal 4 2 2 9 2 2" xfId="1941"/>
    <cellStyle name="Normal 4 2 2 9 2 3" xfId="1942"/>
    <cellStyle name="Normal 4 2 2 9 3" xfId="1943"/>
    <cellStyle name="Normal 4 2 2 9 4" xfId="1944"/>
    <cellStyle name="Normal 4 2 3" xfId="1945"/>
    <cellStyle name="Normal 4 2 3 2" xfId="1946"/>
    <cellStyle name="Normal 4 2 4" xfId="1947"/>
    <cellStyle name="Normal 4 2 4 2" xfId="1948"/>
    <cellStyle name="Normal 4 2 5" xfId="1949"/>
    <cellStyle name="Normal 4 2 5 2" xfId="1950"/>
    <cellStyle name="Normal 4 2 6" xfId="1951"/>
    <cellStyle name="Normal 4 2 6 2" xfId="1952"/>
    <cellStyle name="Normal 4 2 7" xfId="1953"/>
    <cellStyle name="Normal 4 2 7 2" xfId="1954"/>
    <cellStyle name="Normal 4 2 8" xfId="1955"/>
    <cellStyle name="Normal 4 2 8 2" xfId="1956"/>
    <cellStyle name="Normal 4 2 9" xfId="1957"/>
    <cellStyle name="Normal 4 3" xfId="1958"/>
    <cellStyle name="Normal 4 3 10" xfId="1959"/>
    <cellStyle name="Normal 4 3 2" xfId="1960"/>
    <cellStyle name="Normal 4 3 2 2" xfId="1961"/>
    <cellStyle name="Normal 4 3 3" xfId="1962"/>
    <cellStyle name="Normal 4 3 3 2" xfId="1963"/>
    <cellStyle name="Normal 4 3 4" xfId="1964"/>
    <cellStyle name="Normal 4 3 4 2" xfId="1965"/>
    <cellStyle name="Normal 4 3 5" xfId="1966"/>
    <cellStyle name="Normal 4 3 5 2" xfId="1967"/>
    <cellStyle name="Normal 4 3 6" xfId="1968"/>
    <cellStyle name="Normal 4 3 6 2" xfId="1969"/>
    <cellStyle name="Normal 4 3 7" xfId="1970"/>
    <cellStyle name="Normal 4 3 7 2" xfId="1971"/>
    <cellStyle name="Normal 4 3 8" xfId="1972"/>
    <cellStyle name="Normal 4 3 8 2" xfId="1973"/>
    <cellStyle name="Normal 4 3 9" xfId="1974"/>
    <cellStyle name="Normal 4 4" xfId="1975"/>
    <cellStyle name="Normal 4 4 10" xfId="1976"/>
    <cellStyle name="Normal 4 4 2" xfId="1977"/>
    <cellStyle name="Normal 4 4 2 2" xfId="1978"/>
    <cellStyle name="Normal 4 4 3" xfId="1979"/>
    <cellStyle name="Normal 4 4 3 2" xfId="1980"/>
    <cellStyle name="Normal 4 4 4" xfId="1981"/>
    <cellStyle name="Normal 4 4 4 2" xfId="1982"/>
    <cellStyle name="Normal 4 4 5" xfId="1983"/>
    <cellStyle name="Normal 4 4 5 2" xfId="1984"/>
    <cellStyle name="Normal 4 4 6" xfId="1985"/>
    <cellStyle name="Normal 4 4 6 2" xfId="1986"/>
    <cellStyle name="Normal 4 4 7" xfId="1987"/>
    <cellStyle name="Normal 4 4 7 2" xfId="1988"/>
    <cellStyle name="Normal 4 4 8" xfId="1989"/>
    <cellStyle name="Normal 4 4 8 2" xfId="1990"/>
    <cellStyle name="Normal 4 4 9" xfId="1991"/>
    <cellStyle name="Normal 4 5" xfId="1992"/>
    <cellStyle name="Normal 4 5 2" xfId="1993"/>
    <cellStyle name="Normal 4 5 2 2" xfId="1994"/>
    <cellStyle name="Normal 4 5 3" xfId="1995"/>
    <cellStyle name="Normal 4 5 3 2" xfId="1996"/>
    <cellStyle name="Normal 4 5 4" xfId="1997"/>
    <cellStyle name="Normal 4 5 4 2" xfId="1998"/>
    <cellStyle name="Normal 4 5 5" xfId="1999"/>
    <cellStyle name="Normal 4 5 5 2" xfId="2000"/>
    <cellStyle name="Normal 4 5 6" xfId="2001"/>
    <cellStyle name="Normal 4 5 6 2" xfId="2002"/>
    <cellStyle name="Normal 4 5 7" xfId="2003"/>
    <cellStyle name="Normal 4 5 7 2" xfId="2004"/>
    <cellStyle name="Normal 4 5 8" xfId="2005"/>
    <cellStyle name="Normal 4 5 8 2" xfId="2006"/>
    <cellStyle name="Normal 4 5 9" xfId="2007"/>
    <cellStyle name="Normal 4 6" xfId="2008"/>
    <cellStyle name="Normal 4 6 2" xfId="2009"/>
    <cellStyle name="Normal 4 7" xfId="2010"/>
    <cellStyle name="Normal 4 7 2" xfId="2011"/>
    <cellStyle name="Normal 4 8" xfId="2012"/>
    <cellStyle name="Normal 4 8 2" xfId="2013"/>
    <cellStyle name="Normal 4 9" xfId="2014"/>
    <cellStyle name="Normal 4 9 2" xfId="2015"/>
    <cellStyle name="Normal 5" xfId="2016"/>
    <cellStyle name="Normal 5 10" xfId="2017"/>
    <cellStyle name="Normal 5 10 2" xfId="2018"/>
    <cellStyle name="Normal 5 11" xfId="2019"/>
    <cellStyle name="Normal 5 11 2" xfId="2020"/>
    <cellStyle name="Normal 5 12" xfId="2021"/>
    <cellStyle name="Normal 5 12 2" xfId="2022"/>
    <cellStyle name="Normal 5 13" xfId="2023"/>
    <cellStyle name="Normal 5 13 2" xfId="2024"/>
    <cellStyle name="Normal 5 14" xfId="2025"/>
    <cellStyle name="Normal 5 14 2" xfId="2026"/>
    <cellStyle name="Normal 5 14 3" xfId="2027"/>
    <cellStyle name="Normal 5 15" xfId="2028"/>
    <cellStyle name="Normal 5 16" xfId="2029"/>
    <cellStyle name="Normal 5 17" xfId="2030"/>
    <cellStyle name="Normal 5 18" xfId="2031"/>
    <cellStyle name="Normal 5 2" xfId="2032"/>
    <cellStyle name="Normal 5 2 10" xfId="2033"/>
    <cellStyle name="Normal 5 2 10 2" xfId="2034"/>
    <cellStyle name="Normal 5 2 10 3" xfId="2035"/>
    <cellStyle name="Normal 5 2 11" xfId="2036"/>
    <cellStyle name="Normal 5 2 12" xfId="2037"/>
    <cellStyle name="Normal 5 2 13" xfId="2038"/>
    <cellStyle name="Normal 5 2 14" xfId="2039"/>
    <cellStyle name="Normal 5 2 2" xfId="2040"/>
    <cellStyle name="Normal 5 2 2 10" xfId="2041"/>
    <cellStyle name="Normal 5 2 2 10 2" xfId="2042"/>
    <cellStyle name="Normal 5 2 2 10 2 2" xfId="2043"/>
    <cellStyle name="Normal 5 2 2 10 2 3" xfId="2044"/>
    <cellStyle name="Normal 5 2 2 10 3" xfId="2045"/>
    <cellStyle name="Normal 5 2 2 10 4" xfId="2046"/>
    <cellStyle name="Normal 5 2 2 11" xfId="2047"/>
    <cellStyle name="Normal 5 2 2 11 2" xfId="2048"/>
    <cellStyle name="Normal 5 2 2 11 2 2" xfId="2049"/>
    <cellStyle name="Normal 5 2 2 11 2 3" xfId="2050"/>
    <cellStyle name="Normal 5 2 2 11 3" xfId="2051"/>
    <cellStyle name="Normal 5 2 2 11 4" xfId="2052"/>
    <cellStyle name="Normal 5 2 2 12" xfId="2053"/>
    <cellStyle name="Normal 5 2 2 12 2" xfId="2054"/>
    <cellStyle name="Normal 5 2 2 12 2 2" xfId="2055"/>
    <cellStyle name="Normal 5 2 2 12 2 3" xfId="2056"/>
    <cellStyle name="Normal 5 2 2 12 3" xfId="2057"/>
    <cellStyle name="Normal 5 2 2 12 4" xfId="2058"/>
    <cellStyle name="Normal 5 2 2 13" xfId="2059"/>
    <cellStyle name="Normal 5 2 2 13 2" xfId="2060"/>
    <cellStyle name="Normal 5 2 2 13 2 2" xfId="2061"/>
    <cellStyle name="Normal 5 2 2 13 2 3" xfId="2062"/>
    <cellStyle name="Normal 5 2 2 13 3" xfId="2063"/>
    <cellStyle name="Normal 5 2 2 13 4" xfId="2064"/>
    <cellStyle name="Normal 5 2 2 14" xfId="2065"/>
    <cellStyle name="Normal 5 2 2 2" xfId="2066"/>
    <cellStyle name="Normal 5 2 2 2 10" xfId="2067"/>
    <cellStyle name="Normal 5 2 2 2 10 2" xfId="2068"/>
    <cellStyle name="Normal 5 2 2 2 11" xfId="2069"/>
    <cellStyle name="Normal 5 2 2 2 11 2" xfId="2070"/>
    <cellStyle name="Normal 5 2 2 2 12" xfId="2071"/>
    <cellStyle name="Normal 5 2 2 2 12 2" xfId="2072"/>
    <cellStyle name="Normal 5 2 2 2 13" xfId="2073"/>
    <cellStyle name="Normal 5 2 2 2 13 2" xfId="2074"/>
    <cellStyle name="Normal 5 2 2 2 14" xfId="2075"/>
    <cellStyle name="Normal 5 2 2 2 14 2" xfId="2076"/>
    <cellStyle name="Normal 5 2 2 2 14 3" xfId="2077"/>
    <cellStyle name="Normal 5 2 2 2 15" xfId="2078"/>
    <cellStyle name="Normal 5 2 2 2 16" xfId="2079"/>
    <cellStyle name="Normal 5 2 2 2 2" xfId="2080"/>
    <cellStyle name="Normal 5 2 2 2 2 2" xfId="2081"/>
    <cellStyle name="Normal 5 2 2 2 3" xfId="2082"/>
    <cellStyle name="Normal 5 2 2 2 3 2" xfId="2083"/>
    <cellStyle name="Normal 5 2 2 2 4" xfId="2084"/>
    <cellStyle name="Normal 5 2 2 2 4 2" xfId="2085"/>
    <cellStyle name="Normal 5 2 2 2 5" xfId="2086"/>
    <cellStyle name="Normal 5 2 2 2 5 2" xfId="2087"/>
    <cellStyle name="Normal 5 2 2 2 6" xfId="2088"/>
    <cellStyle name="Normal 5 2 2 2 6 2" xfId="2089"/>
    <cellStyle name="Normal 5 2 2 2 7" xfId="2090"/>
    <cellStyle name="Normal 5 2 2 2 7 2" xfId="2091"/>
    <cellStyle name="Normal 5 2 2 2 8" xfId="2092"/>
    <cellStyle name="Normal 5 2 2 2 8 2" xfId="2093"/>
    <cellStyle name="Normal 5 2 2 2 9" xfId="2094"/>
    <cellStyle name="Normal 5 2 2 2 9 2" xfId="2095"/>
    <cellStyle name="Normal 5 2 2 3" xfId="2096"/>
    <cellStyle name="Normal 5 2 2 3 2" xfId="2097"/>
    <cellStyle name="Normal 5 2 2 3 2 2" xfId="2098"/>
    <cellStyle name="Normal 5 2 2 3 2 3" xfId="2099"/>
    <cellStyle name="Normal 5 2 2 3 3" xfId="2100"/>
    <cellStyle name="Normal 5 2 2 3 4" xfId="2101"/>
    <cellStyle name="Normal 5 2 2 4" xfId="2102"/>
    <cellStyle name="Normal 5 2 2 4 2" xfId="2103"/>
    <cellStyle name="Normal 5 2 2 4 2 2" xfId="2104"/>
    <cellStyle name="Normal 5 2 2 4 2 3" xfId="2105"/>
    <cellStyle name="Normal 5 2 2 4 3" xfId="2106"/>
    <cellStyle name="Normal 5 2 2 4 4" xfId="2107"/>
    <cellStyle name="Normal 5 2 2 5" xfId="2108"/>
    <cellStyle name="Normal 5 2 2 5 2" xfId="2109"/>
    <cellStyle name="Normal 5 2 2 5 2 2" xfId="2110"/>
    <cellStyle name="Normal 5 2 2 5 2 3" xfId="2111"/>
    <cellStyle name="Normal 5 2 2 5 3" xfId="2112"/>
    <cellStyle name="Normal 5 2 2 5 4" xfId="2113"/>
    <cellStyle name="Normal 5 2 2 6" xfId="2114"/>
    <cellStyle name="Normal 5 2 2 6 2" xfId="2115"/>
    <cellStyle name="Normal 5 2 2 6 2 2" xfId="2116"/>
    <cellStyle name="Normal 5 2 2 6 2 3" xfId="2117"/>
    <cellStyle name="Normal 5 2 2 6 3" xfId="2118"/>
    <cellStyle name="Normal 5 2 2 6 4" xfId="2119"/>
    <cellStyle name="Normal 5 2 2 7" xfId="2120"/>
    <cellStyle name="Normal 5 2 2 7 2" xfId="2121"/>
    <cellStyle name="Normal 5 2 2 7 2 2" xfId="2122"/>
    <cellStyle name="Normal 5 2 2 7 2 3" xfId="2123"/>
    <cellStyle name="Normal 5 2 2 7 3" xfId="2124"/>
    <cellStyle name="Normal 5 2 2 7 4" xfId="2125"/>
    <cellStyle name="Normal 5 2 2 8" xfId="2126"/>
    <cellStyle name="Normal 5 2 2 8 2" xfId="2127"/>
    <cellStyle name="Normal 5 2 2 8 2 2" xfId="2128"/>
    <cellStyle name="Normal 5 2 2 8 2 3" xfId="2129"/>
    <cellStyle name="Normal 5 2 2 8 3" xfId="2130"/>
    <cellStyle name="Normal 5 2 2 8 4" xfId="2131"/>
    <cellStyle name="Normal 5 2 2 9" xfId="2132"/>
    <cellStyle name="Normal 5 2 2 9 2" xfId="2133"/>
    <cellStyle name="Normal 5 2 2 9 2 2" xfId="2134"/>
    <cellStyle name="Normal 5 2 2 9 2 3" xfId="2135"/>
    <cellStyle name="Normal 5 2 2 9 3" xfId="2136"/>
    <cellStyle name="Normal 5 2 2 9 4" xfId="2137"/>
    <cellStyle name="Normal 5 2 3" xfId="2138"/>
    <cellStyle name="Normal 5 2 3 2" xfId="2139"/>
    <cellStyle name="Normal 5 2 4" xfId="2140"/>
    <cellStyle name="Normal 5 2 4 2" xfId="2141"/>
    <cellStyle name="Normal 5 2 5" xfId="2142"/>
    <cellStyle name="Normal 5 2 5 2" xfId="2143"/>
    <cellStyle name="Normal 5 2 6" xfId="2144"/>
    <cellStyle name="Normal 5 2 6 2" xfId="2145"/>
    <cellStyle name="Normal 5 2 7" xfId="2146"/>
    <cellStyle name="Normal 5 2 7 2" xfId="2147"/>
    <cellStyle name="Normal 5 2 8" xfId="2148"/>
    <cellStyle name="Normal 5 2 8 2" xfId="2149"/>
    <cellStyle name="Normal 5 2 9" xfId="2150"/>
    <cellStyle name="Normal 5 2 9 2" xfId="2151"/>
    <cellStyle name="Normal 5 3" xfId="2152"/>
    <cellStyle name="Normal 5 3 10" xfId="2153"/>
    <cellStyle name="Normal 5 3 2" xfId="2154"/>
    <cellStyle name="Normal 5 3 2 2" xfId="2155"/>
    <cellStyle name="Normal 5 3 3" xfId="2156"/>
    <cellStyle name="Normal 5 3 3 2" xfId="2157"/>
    <cellStyle name="Normal 5 3 4" xfId="2158"/>
    <cellStyle name="Normal 5 3 4 2" xfId="2159"/>
    <cellStyle name="Normal 5 3 5" xfId="2160"/>
    <cellStyle name="Normal 5 3 5 2" xfId="2161"/>
    <cellStyle name="Normal 5 3 6" xfId="2162"/>
    <cellStyle name="Normal 5 3 6 2" xfId="2163"/>
    <cellStyle name="Normal 5 3 7" xfId="2164"/>
    <cellStyle name="Normal 5 3 7 2" xfId="2165"/>
    <cellStyle name="Normal 5 3 8" xfId="2166"/>
    <cellStyle name="Normal 5 3 8 2" xfId="2167"/>
    <cellStyle name="Normal 5 3 9" xfId="2168"/>
    <cellStyle name="Normal 5 4" xfId="2169"/>
    <cellStyle name="Normal 5 4 10" xfId="2170"/>
    <cellStyle name="Normal 5 4 2" xfId="2171"/>
    <cellStyle name="Normal 5 4 2 2" xfId="2172"/>
    <cellStyle name="Normal 5 4 3" xfId="2173"/>
    <cellStyle name="Normal 5 4 3 2" xfId="2174"/>
    <cellStyle name="Normal 5 4 4" xfId="2175"/>
    <cellStyle name="Normal 5 4 4 2" xfId="2176"/>
    <cellStyle name="Normal 5 4 5" xfId="2177"/>
    <cellStyle name="Normal 5 4 5 2" xfId="2178"/>
    <cellStyle name="Normal 5 4 6" xfId="2179"/>
    <cellStyle name="Normal 5 4 6 2" xfId="2180"/>
    <cellStyle name="Normal 5 4 7" xfId="2181"/>
    <cellStyle name="Normal 5 4 7 2" xfId="2182"/>
    <cellStyle name="Normal 5 4 8" xfId="2183"/>
    <cellStyle name="Normal 5 4 8 2" xfId="2184"/>
    <cellStyle name="Normal 5 4 9" xfId="2185"/>
    <cellStyle name="Normal 5 5" xfId="2186"/>
    <cellStyle name="Normal 5 5 2" xfId="2187"/>
    <cellStyle name="Normal 5 5 2 2" xfId="2188"/>
    <cellStyle name="Normal 5 5 3" xfId="2189"/>
    <cellStyle name="Normal 5 5 3 2" xfId="2190"/>
    <cellStyle name="Normal 5 5 4" xfId="2191"/>
    <cellStyle name="Normal 5 5 4 2" xfId="2192"/>
    <cellStyle name="Normal 5 5 5" xfId="2193"/>
    <cellStyle name="Normal 5 5 5 2" xfId="2194"/>
    <cellStyle name="Normal 5 5 6" xfId="2195"/>
    <cellStyle name="Normal 5 5 6 2" xfId="2196"/>
    <cellStyle name="Normal 5 5 7" xfId="2197"/>
    <cellStyle name="Normal 5 5 7 2" xfId="2198"/>
    <cellStyle name="Normal 5 5 8" xfId="2199"/>
    <cellStyle name="Normal 5 5 8 2" xfId="2200"/>
    <cellStyle name="Normal 5 5 9" xfId="2201"/>
    <cellStyle name="Normal 5 6" xfId="2202"/>
    <cellStyle name="Normal 5 6 2" xfId="2203"/>
    <cellStyle name="Normal 5 7" xfId="2204"/>
    <cellStyle name="Normal 5 7 2" xfId="2205"/>
    <cellStyle name="Normal 5 8" xfId="2206"/>
    <cellStyle name="Normal 5 8 2" xfId="2207"/>
    <cellStyle name="Normal 5 9" xfId="2208"/>
    <cellStyle name="Normal 5 9 2" xfId="2209"/>
    <cellStyle name="Normal 6" xfId="2210"/>
    <cellStyle name="Normal 6 10" xfId="2211"/>
    <cellStyle name="Normal 6 10 2" xfId="2212"/>
    <cellStyle name="Normal 6 11" xfId="2213"/>
    <cellStyle name="Normal 6 11 2" xfId="2214"/>
    <cellStyle name="Normal 6 12" xfId="2215"/>
    <cellStyle name="Normal 6 12 2" xfId="2216"/>
    <cellStyle name="Normal 6 13" xfId="2217"/>
    <cellStyle name="Normal 6 13 2" xfId="2218"/>
    <cellStyle name="Normal 6 14" xfId="2219"/>
    <cellStyle name="Normal 6 15" xfId="2220"/>
    <cellStyle name="Normal 6 2" xfId="2221"/>
    <cellStyle name="Normal 6 2 10" xfId="2222"/>
    <cellStyle name="Normal 6 2 2" xfId="2223"/>
    <cellStyle name="Normal 6 2 2 10" xfId="2224"/>
    <cellStyle name="Normal 6 2 2 10 2" xfId="2225"/>
    <cellStyle name="Normal 6 2 2 10 2 2" xfId="2226"/>
    <cellStyle name="Normal 6 2 2 10 2 3" xfId="2227"/>
    <cellStyle name="Normal 6 2 2 10 3" xfId="2228"/>
    <cellStyle name="Normal 6 2 2 10 4" xfId="2229"/>
    <cellStyle name="Normal 6 2 2 11" xfId="2230"/>
    <cellStyle name="Normal 6 2 2 11 2" xfId="2231"/>
    <cellStyle name="Normal 6 2 2 11 2 2" xfId="2232"/>
    <cellStyle name="Normal 6 2 2 11 2 3" xfId="2233"/>
    <cellStyle name="Normal 6 2 2 11 3" xfId="2234"/>
    <cellStyle name="Normal 6 2 2 11 4" xfId="2235"/>
    <cellStyle name="Normal 6 2 2 12" xfId="2236"/>
    <cellStyle name="Normal 6 2 2 12 2" xfId="2237"/>
    <cellStyle name="Normal 6 2 2 12 2 2" xfId="2238"/>
    <cellStyle name="Normal 6 2 2 12 2 3" xfId="2239"/>
    <cellStyle name="Normal 6 2 2 12 3" xfId="2240"/>
    <cellStyle name="Normal 6 2 2 12 4" xfId="2241"/>
    <cellStyle name="Normal 6 2 2 13" xfId="2242"/>
    <cellStyle name="Normal 6 2 2 13 2" xfId="2243"/>
    <cellStyle name="Normal 6 2 2 13 2 2" xfId="2244"/>
    <cellStyle name="Normal 6 2 2 13 2 3" xfId="2245"/>
    <cellStyle name="Normal 6 2 2 13 3" xfId="2246"/>
    <cellStyle name="Normal 6 2 2 13 4" xfId="2247"/>
    <cellStyle name="Normal 6 2 2 14" xfId="2248"/>
    <cellStyle name="Normal 6 2 2 15" xfId="2249"/>
    <cellStyle name="Normal 6 2 2 2" xfId="2250"/>
    <cellStyle name="Normal 6 2 2 2 2" xfId="2251"/>
    <cellStyle name="Normal 6 2 2 2 2 2" xfId="2252"/>
    <cellStyle name="Normal 6 2 2 2 2 3" xfId="2253"/>
    <cellStyle name="Normal 6 2 2 2 3" xfId="2254"/>
    <cellStyle name="Normal 6 2 2 2 4" xfId="2255"/>
    <cellStyle name="Normal 6 2 2 3" xfId="2256"/>
    <cellStyle name="Normal 6 2 2 3 2" xfId="2257"/>
    <cellStyle name="Normal 6 2 2 3 2 2" xfId="2258"/>
    <cellStyle name="Normal 6 2 2 3 2 3" xfId="2259"/>
    <cellStyle name="Normal 6 2 2 3 3" xfId="2260"/>
    <cellStyle name="Normal 6 2 2 3 4" xfId="2261"/>
    <cellStyle name="Normal 6 2 2 4" xfId="2262"/>
    <cellStyle name="Normal 6 2 2 4 2" xfId="2263"/>
    <cellStyle name="Normal 6 2 2 4 2 2" xfId="2264"/>
    <cellStyle name="Normal 6 2 2 4 2 3" xfId="2265"/>
    <cellStyle name="Normal 6 2 2 4 3" xfId="2266"/>
    <cellStyle name="Normal 6 2 2 4 4" xfId="2267"/>
    <cellStyle name="Normal 6 2 2 5" xfId="2268"/>
    <cellStyle name="Normal 6 2 2 5 2" xfId="2269"/>
    <cellStyle name="Normal 6 2 2 5 2 2" xfId="2270"/>
    <cellStyle name="Normal 6 2 2 5 2 3" xfId="2271"/>
    <cellStyle name="Normal 6 2 2 5 3" xfId="2272"/>
    <cellStyle name="Normal 6 2 2 5 4" xfId="2273"/>
    <cellStyle name="Normal 6 2 2 6" xfId="2274"/>
    <cellStyle name="Normal 6 2 2 6 2" xfId="2275"/>
    <cellStyle name="Normal 6 2 2 6 2 2" xfId="2276"/>
    <cellStyle name="Normal 6 2 2 6 2 3" xfId="2277"/>
    <cellStyle name="Normal 6 2 2 6 3" xfId="2278"/>
    <cellStyle name="Normal 6 2 2 6 4" xfId="2279"/>
    <cellStyle name="Normal 6 2 2 7" xfId="2280"/>
    <cellStyle name="Normal 6 2 2 7 2" xfId="2281"/>
    <cellStyle name="Normal 6 2 2 7 2 2" xfId="2282"/>
    <cellStyle name="Normal 6 2 2 7 2 3" xfId="2283"/>
    <cellStyle name="Normal 6 2 2 7 3" xfId="2284"/>
    <cellStyle name="Normal 6 2 2 7 4" xfId="2285"/>
    <cellStyle name="Normal 6 2 2 8" xfId="2286"/>
    <cellStyle name="Normal 6 2 2 8 2" xfId="2287"/>
    <cellStyle name="Normal 6 2 2 8 2 2" xfId="2288"/>
    <cellStyle name="Normal 6 2 2 8 2 3" xfId="2289"/>
    <cellStyle name="Normal 6 2 2 8 3" xfId="2290"/>
    <cellStyle name="Normal 6 2 2 8 4" xfId="2291"/>
    <cellStyle name="Normal 6 2 2 9" xfId="2292"/>
    <cellStyle name="Normal 6 2 2 9 2" xfId="2293"/>
    <cellStyle name="Normal 6 2 2 9 2 2" xfId="2294"/>
    <cellStyle name="Normal 6 2 2 9 2 3" xfId="2295"/>
    <cellStyle name="Normal 6 2 2 9 3" xfId="2296"/>
    <cellStyle name="Normal 6 2 2 9 4" xfId="2297"/>
    <cellStyle name="Normal 6 2 3" xfId="2298"/>
    <cellStyle name="Normal 6 2 3 2" xfId="2299"/>
    <cellStyle name="Normal 6 2 4" xfId="2300"/>
    <cellStyle name="Normal 6 2 4 2" xfId="2301"/>
    <cellStyle name="Normal 6 2 5" xfId="2302"/>
    <cellStyle name="Normal 6 2 5 2" xfId="2303"/>
    <cellStyle name="Normal 6 2 6" xfId="2304"/>
    <cellStyle name="Normal 6 2 6 2" xfId="2305"/>
    <cellStyle name="Normal 6 2 7" xfId="2306"/>
    <cellStyle name="Normal 6 2 7 2" xfId="2307"/>
    <cellStyle name="Normal 6 2 8" xfId="2308"/>
    <cellStyle name="Normal 6 2 8 2" xfId="2309"/>
    <cellStyle name="Normal 6 2 9" xfId="2310"/>
    <cellStyle name="Normal 6 3" xfId="2311"/>
    <cellStyle name="Normal 6 3 10" xfId="2312"/>
    <cellStyle name="Normal 6 3 2" xfId="2313"/>
    <cellStyle name="Normal 6 3 2 2" xfId="2314"/>
    <cellStyle name="Normal 6 3 3" xfId="2315"/>
    <cellStyle name="Normal 6 3 3 2" xfId="2316"/>
    <cellStyle name="Normal 6 3 4" xfId="2317"/>
    <cellStyle name="Normal 6 3 4 2" xfId="2318"/>
    <cellStyle name="Normal 6 3 5" xfId="2319"/>
    <cellStyle name="Normal 6 3 5 2" xfId="2320"/>
    <cellStyle name="Normal 6 3 6" xfId="2321"/>
    <cellStyle name="Normal 6 3 6 2" xfId="2322"/>
    <cellStyle name="Normal 6 3 7" xfId="2323"/>
    <cellStyle name="Normal 6 3 7 2" xfId="2324"/>
    <cellStyle name="Normal 6 3 8" xfId="2325"/>
    <cellStyle name="Normal 6 3 8 2" xfId="2326"/>
    <cellStyle name="Normal 6 3 9" xfId="2327"/>
    <cellStyle name="Normal 6 4" xfId="2328"/>
    <cellStyle name="Normal 6 4 10" xfId="2329"/>
    <cellStyle name="Normal 6 4 2" xfId="2330"/>
    <cellStyle name="Normal 6 4 2 2" xfId="2331"/>
    <cellStyle name="Normal 6 4 3" xfId="2332"/>
    <cellStyle name="Normal 6 4 3 2" xfId="2333"/>
    <cellStyle name="Normal 6 4 4" xfId="2334"/>
    <cellStyle name="Normal 6 4 4 2" xfId="2335"/>
    <cellStyle name="Normal 6 4 5" xfId="2336"/>
    <cellStyle name="Normal 6 4 5 2" xfId="2337"/>
    <cellStyle name="Normal 6 4 6" xfId="2338"/>
    <cellStyle name="Normal 6 4 6 2" xfId="2339"/>
    <cellStyle name="Normal 6 4 7" xfId="2340"/>
    <cellStyle name="Normal 6 4 7 2" xfId="2341"/>
    <cellStyle name="Normal 6 4 8" xfId="2342"/>
    <cellStyle name="Normal 6 4 8 2" xfId="2343"/>
    <cellStyle name="Normal 6 4 9" xfId="2344"/>
    <cellStyle name="Normal 6 5" xfId="2345"/>
    <cellStyle name="Normal 6 5 2" xfId="2346"/>
    <cellStyle name="Normal 6 5 2 2" xfId="2347"/>
    <cellStyle name="Normal 6 5 3" xfId="2348"/>
    <cellStyle name="Normal 6 5 3 2" xfId="2349"/>
    <cellStyle name="Normal 6 5 4" xfId="2350"/>
    <cellStyle name="Normal 6 5 4 2" xfId="2351"/>
    <cellStyle name="Normal 6 5 5" xfId="2352"/>
    <cellStyle name="Normal 6 5 5 2" xfId="2353"/>
    <cellStyle name="Normal 6 5 6" xfId="2354"/>
    <cellStyle name="Normal 6 5 6 2" xfId="2355"/>
    <cellStyle name="Normal 6 5 7" xfId="2356"/>
    <cellStyle name="Normal 6 5 7 2" xfId="2357"/>
    <cellStyle name="Normal 6 5 8" xfId="2358"/>
    <cellStyle name="Normal 6 5 8 2" xfId="2359"/>
    <cellStyle name="Normal 6 5 9" xfId="2360"/>
    <cellStyle name="Normal 6 6" xfId="2361"/>
    <cellStyle name="Normal 6 6 2" xfId="2362"/>
    <cellStyle name="Normal 6 7" xfId="2363"/>
    <cellStyle name="Normal 6 7 2" xfId="2364"/>
    <cellStyle name="Normal 6 8" xfId="2365"/>
    <cellStyle name="Normal 6 8 2" xfId="2366"/>
    <cellStyle name="Normal 6 9" xfId="2367"/>
    <cellStyle name="Normal 6 9 2" xfId="2368"/>
    <cellStyle name="Normal 7" xfId="2369"/>
    <cellStyle name="Normal 7 10" xfId="2370"/>
    <cellStyle name="Normal 7 10 2" xfId="2371"/>
    <cellStyle name="Normal 7 11" xfId="2372"/>
    <cellStyle name="Normal 7 11 2" xfId="2373"/>
    <cellStyle name="Normal 7 12" xfId="2374"/>
    <cellStyle name="Normal 7 12 2" xfId="2375"/>
    <cellStyle name="Normal 7 13" xfId="2376"/>
    <cellStyle name="Normal 7 14" xfId="2377"/>
    <cellStyle name="Normal 7 2" xfId="2378"/>
    <cellStyle name="Normal 7 2 10" xfId="2379"/>
    <cellStyle name="Normal 7 2 2" xfId="2380"/>
    <cellStyle name="Normal 7 2 2 2" xfId="2381"/>
    <cellStyle name="Normal 7 2 3" xfId="2382"/>
    <cellStyle name="Normal 7 2 3 2" xfId="2383"/>
    <cellStyle name="Normal 7 2 4" xfId="2384"/>
    <cellStyle name="Normal 7 2 4 2" xfId="2385"/>
    <cellStyle name="Normal 7 2 5" xfId="2386"/>
    <cellStyle name="Normal 7 2 5 2" xfId="2387"/>
    <cellStyle name="Normal 7 2 6" xfId="2388"/>
    <cellStyle name="Normal 7 2 6 2" xfId="2389"/>
    <cellStyle name="Normal 7 2 7" xfId="2390"/>
    <cellStyle name="Normal 7 2 7 2" xfId="2391"/>
    <cellStyle name="Normal 7 2 8" xfId="2392"/>
    <cellStyle name="Normal 7 2 8 2" xfId="2393"/>
    <cellStyle name="Normal 7 2 9" xfId="2394"/>
    <cellStyle name="Normal 7 3" xfId="2395"/>
    <cellStyle name="Normal 7 3 2" xfId="2396"/>
    <cellStyle name="Normal 7 3 2 2" xfId="2397"/>
    <cellStyle name="Normal 7 3 3" xfId="2398"/>
    <cellStyle name="Normal 7 3 3 2" xfId="2399"/>
    <cellStyle name="Normal 7 3 4" xfId="2400"/>
    <cellStyle name="Normal 7 3 4 2" xfId="2401"/>
    <cellStyle name="Normal 7 3 5" xfId="2402"/>
    <cellStyle name="Normal 7 3 5 2" xfId="2403"/>
    <cellStyle name="Normal 7 3 6" xfId="2404"/>
    <cellStyle name="Normal 7 3 6 2" xfId="2405"/>
    <cellStyle name="Normal 7 3 7" xfId="2406"/>
    <cellStyle name="Normal 7 3 7 2" xfId="2407"/>
    <cellStyle name="Normal 7 3 8" xfId="2408"/>
    <cellStyle name="Normal 7 3 8 2" xfId="2409"/>
    <cellStyle name="Normal 7 3 9" xfId="2410"/>
    <cellStyle name="Normal 7 4" xfId="2411"/>
    <cellStyle name="Normal 7 4 2" xfId="2412"/>
    <cellStyle name="Normal 7 4 2 2" xfId="2413"/>
    <cellStyle name="Normal 7 4 3" xfId="2414"/>
    <cellStyle name="Normal 7 4 3 2" xfId="2415"/>
    <cellStyle name="Normal 7 4 4" xfId="2416"/>
    <cellStyle name="Normal 7 4 4 2" xfId="2417"/>
    <cellStyle name="Normal 7 4 5" xfId="2418"/>
    <cellStyle name="Normal 7 4 5 2" xfId="2419"/>
    <cellStyle name="Normal 7 4 6" xfId="2420"/>
    <cellStyle name="Normal 7 4 6 2" xfId="2421"/>
    <cellStyle name="Normal 7 4 7" xfId="2422"/>
    <cellStyle name="Normal 7 4 7 2" xfId="2423"/>
    <cellStyle name="Normal 7 4 8" xfId="2424"/>
    <cellStyle name="Normal 7 4 8 2" xfId="2425"/>
    <cellStyle name="Normal 7 4 9" xfId="2426"/>
    <cellStyle name="Normal 7 5" xfId="2427"/>
    <cellStyle name="Normal 7 5 2" xfId="2428"/>
    <cellStyle name="Normal 7 5 2 2" xfId="2429"/>
    <cellStyle name="Normal 7 5 3" xfId="2430"/>
    <cellStyle name="Normal 7 5 3 2" xfId="2431"/>
    <cellStyle name="Normal 7 5 4" xfId="2432"/>
    <cellStyle name="Normal 7 5 4 2" xfId="2433"/>
    <cellStyle name="Normal 7 5 5" xfId="2434"/>
    <cellStyle name="Normal 7 5 5 2" xfId="2435"/>
    <cellStyle name="Normal 7 5 6" xfId="2436"/>
    <cellStyle name="Normal 7 5 6 2" xfId="2437"/>
    <cellStyle name="Normal 7 5 7" xfId="2438"/>
    <cellStyle name="Normal 7 5 7 2" xfId="2439"/>
    <cellStyle name="Normal 7 5 8" xfId="2440"/>
    <cellStyle name="Normal 7 5 8 2" xfId="2441"/>
    <cellStyle name="Normal 7 5 9" xfId="2442"/>
    <cellStyle name="Normal 7 6" xfId="2443"/>
    <cellStyle name="Normal 7 6 2" xfId="2444"/>
    <cellStyle name="Normal 7 7" xfId="2445"/>
    <cellStyle name="Normal 7 7 2" xfId="2446"/>
    <cellStyle name="Normal 7 8" xfId="2447"/>
    <cellStyle name="Normal 7 8 2" xfId="2448"/>
    <cellStyle name="Normal 7 9" xfId="2449"/>
    <cellStyle name="Normal 7 9 2" xfId="2450"/>
    <cellStyle name="Normal 8" xfId="2451"/>
    <cellStyle name="Normal 8 10" xfId="2452"/>
    <cellStyle name="Normal 8 10 2" xfId="2453"/>
    <cellStyle name="Normal 8 11" xfId="2454"/>
    <cellStyle name="Normal 8 11 2" xfId="2455"/>
    <cellStyle name="Normal 8 12" xfId="2456"/>
    <cellStyle name="Normal 8 12 2" xfId="2457"/>
    <cellStyle name="Normal 8 13" xfId="2458"/>
    <cellStyle name="Normal 8 14" xfId="2459"/>
    <cellStyle name="Normal 8 2" xfId="2460"/>
    <cellStyle name="Normal 8 2 10" xfId="2461"/>
    <cellStyle name="Normal 8 2 2" xfId="2462"/>
    <cellStyle name="Normal 8 2 2 2" xfId="2463"/>
    <cellStyle name="Normal 8 2 3" xfId="2464"/>
    <cellStyle name="Normal 8 2 3 2" xfId="2465"/>
    <cellStyle name="Normal 8 2 4" xfId="2466"/>
    <cellStyle name="Normal 8 2 4 2" xfId="2467"/>
    <cellStyle name="Normal 8 2 5" xfId="2468"/>
    <cellStyle name="Normal 8 2 5 2" xfId="2469"/>
    <cellStyle name="Normal 8 2 6" xfId="2470"/>
    <cellStyle name="Normal 8 2 6 2" xfId="2471"/>
    <cellStyle name="Normal 8 2 7" xfId="2472"/>
    <cellStyle name="Normal 8 2 7 2" xfId="2473"/>
    <cellStyle name="Normal 8 2 8" xfId="2474"/>
    <cellStyle name="Normal 8 2 8 2" xfId="2475"/>
    <cellStyle name="Normal 8 2 9" xfId="2476"/>
    <cellStyle name="Normal 8 3" xfId="2477"/>
    <cellStyle name="Normal 8 3 2" xfId="2478"/>
    <cellStyle name="Normal 8 3 2 2" xfId="2479"/>
    <cellStyle name="Normal 8 3 3" xfId="2480"/>
    <cellStyle name="Normal 8 3 3 2" xfId="2481"/>
    <cellStyle name="Normal 8 3 4" xfId="2482"/>
    <cellStyle name="Normal 8 3 4 2" xfId="2483"/>
    <cellStyle name="Normal 8 3 5" xfId="2484"/>
    <cellStyle name="Normal 8 3 5 2" xfId="2485"/>
    <cellStyle name="Normal 8 3 6" xfId="2486"/>
    <cellStyle name="Normal 8 3 6 2" xfId="2487"/>
    <cellStyle name="Normal 8 3 7" xfId="2488"/>
    <cellStyle name="Normal 8 3 7 2" xfId="2489"/>
    <cellStyle name="Normal 8 3 8" xfId="2490"/>
    <cellStyle name="Normal 8 3 8 2" xfId="2491"/>
    <cellStyle name="Normal 8 3 9" xfId="2492"/>
    <cellStyle name="Normal 8 4" xfId="2493"/>
    <cellStyle name="Normal 8 4 2" xfId="2494"/>
    <cellStyle name="Normal 8 4 2 2" xfId="2495"/>
    <cellStyle name="Normal 8 4 3" xfId="2496"/>
    <cellStyle name="Normal 8 4 3 2" xfId="2497"/>
    <cellStyle name="Normal 8 4 4" xfId="2498"/>
    <cellStyle name="Normal 8 4 4 2" xfId="2499"/>
    <cellStyle name="Normal 8 4 5" xfId="2500"/>
    <cellStyle name="Normal 8 4 5 2" xfId="2501"/>
    <cellStyle name="Normal 8 4 6" xfId="2502"/>
    <cellStyle name="Normal 8 4 6 2" xfId="2503"/>
    <cellStyle name="Normal 8 4 7" xfId="2504"/>
    <cellStyle name="Normal 8 4 7 2" xfId="2505"/>
    <cellStyle name="Normal 8 4 8" xfId="2506"/>
    <cellStyle name="Normal 8 4 8 2" xfId="2507"/>
    <cellStyle name="Normal 8 4 9" xfId="2508"/>
    <cellStyle name="Normal 8 5" xfId="2509"/>
    <cellStyle name="Normal 8 5 2" xfId="2510"/>
    <cellStyle name="Normal 8 5 2 2" xfId="2511"/>
    <cellStyle name="Normal 8 5 3" xfId="2512"/>
    <cellStyle name="Normal 8 5 3 2" xfId="2513"/>
    <cellStyle name="Normal 8 5 4" xfId="2514"/>
    <cellStyle name="Normal 8 5 4 2" xfId="2515"/>
    <cellStyle name="Normal 8 5 5" xfId="2516"/>
    <cellStyle name="Normal 8 5 5 2" xfId="2517"/>
    <cellStyle name="Normal 8 5 6" xfId="2518"/>
    <cellStyle name="Normal 8 5 6 2" xfId="2519"/>
    <cellStyle name="Normal 8 5 7" xfId="2520"/>
    <cellStyle name="Normal 8 5 7 2" xfId="2521"/>
    <cellStyle name="Normal 8 5 8" xfId="2522"/>
    <cellStyle name="Normal 8 5 8 2" xfId="2523"/>
    <cellStyle name="Normal 8 5 9" xfId="2524"/>
    <cellStyle name="Normal 8 6" xfId="2525"/>
    <cellStyle name="Normal 8 6 2" xfId="2526"/>
    <cellStyle name="Normal 8 7" xfId="2527"/>
    <cellStyle name="Normal 8 7 2" xfId="2528"/>
    <cellStyle name="Normal 8 8" xfId="2529"/>
    <cellStyle name="Normal 8 8 2" xfId="2530"/>
    <cellStyle name="Normal 8 9" xfId="2531"/>
    <cellStyle name="Normal 8 9 2" xfId="2532"/>
    <cellStyle name="Normal 9" xfId="2533"/>
    <cellStyle name="Normal 9 10" xfId="2534"/>
    <cellStyle name="Normal 9 2" xfId="2535"/>
    <cellStyle name="Normal 9 2 2" xfId="2536"/>
    <cellStyle name="Normal 9 3" xfId="2537"/>
    <cellStyle name="Normal 9 3 2" xfId="2538"/>
    <cellStyle name="Normal 9 4" xfId="2539"/>
    <cellStyle name="Normal 9 4 2" xfId="2540"/>
    <cellStyle name="Normal 9 5" xfId="2541"/>
    <cellStyle name="Normal 9 5 2" xfId="2542"/>
    <cellStyle name="Normal 9 6" xfId="2543"/>
    <cellStyle name="Normal 9 6 2" xfId="2544"/>
    <cellStyle name="Normal 9 7" xfId="2545"/>
    <cellStyle name="Normal 9 7 2" xfId="2546"/>
    <cellStyle name="Normal 9 8" xfId="2547"/>
    <cellStyle name="Normal 9 8 2" xfId="2548"/>
    <cellStyle name="Normal 9 9" xfId="2549"/>
    <cellStyle name="Normal GHG Numbers (0.00)" xfId="2550"/>
    <cellStyle name="Normal GHG Textfiels Bold" xfId="2551"/>
    <cellStyle name="Normal GHG-Shade" xfId="2552"/>
    <cellStyle name="Normal GHG-Shade 2" xfId="2553"/>
    <cellStyle name="Normal GHG-Shade 2 2" xfId="2554"/>
    <cellStyle name="Normal GHG-Shade 3" xfId="2555"/>
    <cellStyle name="Normale_B2020" xfId="2556"/>
    <cellStyle name="Note 2" xfId="2557"/>
    <cellStyle name="Note 2 10" xfId="2558"/>
    <cellStyle name="Note 2 10 2" xfId="2559"/>
    <cellStyle name="Note 2 11" xfId="2560"/>
    <cellStyle name="Note 2 11 2" xfId="2561"/>
    <cellStyle name="Note 2 12" xfId="2562"/>
    <cellStyle name="Note 2 12 2" xfId="2563"/>
    <cellStyle name="Note 2 13" xfId="2564"/>
    <cellStyle name="Note 2 13 2" xfId="2565"/>
    <cellStyle name="Note 2 14" xfId="2566"/>
    <cellStyle name="Note 2 14 2" xfId="2567"/>
    <cellStyle name="Note 2 15" xfId="2568"/>
    <cellStyle name="Note 2 15 2" xfId="2569"/>
    <cellStyle name="Note 2 16" xfId="2570"/>
    <cellStyle name="Note 2 17" xfId="2571"/>
    <cellStyle name="Note 2 2" xfId="2572"/>
    <cellStyle name="Note 2 2 2" xfId="2573"/>
    <cellStyle name="Note 2 2 2 2" xfId="2574"/>
    <cellStyle name="Note 2 3" xfId="2575"/>
    <cellStyle name="Note 2 3 2" xfId="2576"/>
    <cellStyle name="Note 2 4" xfId="2577"/>
    <cellStyle name="Note 2 4 2" xfId="2578"/>
    <cellStyle name="Note 2 5" xfId="2579"/>
    <cellStyle name="Note 2 5 2" xfId="2580"/>
    <cellStyle name="Note 2 6" xfId="2581"/>
    <cellStyle name="Note 2 6 2" xfId="2582"/>
    <cellStyle name="Note 2 7" xfId="2583"/>
    <cellStyle name="Note 2 7 2" xfId="2584"/>
    <cellStyle name="Note 2 8" xfId="2585"/>
    <cellStyle name="Note 2 8 2" xfId="2586"/>
    <cellStyle name="Note 2 9" xfId="2587"/>
    <cellStyle name="Note 2 9 2" xfId="2588"/>
    <cellStyle name="Note 3" xfId="2589"/>
    <cellStyle name="Note 3 2" xfId="2590"/>
    <cellStyle name="Note 3 2 2" xfId="2591"/>
    <cellStyle name="Note 3 2 3" xfId="2592"/>
    <cellStyle name="Note 3 3" xfId="2593"/>
    <cellStyle name="Note 4" xfId="2594"/>
    <cellStyle name="Note 4 2" xfId="2595"/>
    <cellStyle name="Note 5" xfId="2596"/>
    <cellStyle name="Note 5 2" xfId="2597"/>
    <cellStyle name="Note 6" xfId="2598"/>
    <cellStyle name="Note 6 2" xfId="2599"/>
    <cellStyle name="Note 7" xfId="2600"/>
    <cellStyle name="Note 7 2" xfId="2601"/>
    <cellStyle name="Note 8" xfId="2602"/>
    <cellStyle name="Note 8 2" xfId="2603"/>
    <cellStyle name="num_note" xfId="2604"/>
    <cellStyle name="Nuovo" xfId="2605"/>
    <cellStyle name="Nuovo 2" xfId="2606"/>
    <cellStyle name="Output 2" xfId="2607"/>
    <cellStyle name="Output 2 10" xfId="2608"/>
    <cellStyle name="Output 2 2" xfId="2609"/>
    <cellStyle name="Output 2 3" xfId="2610"/>
    <cellStyle name="Output 2 4" xfId="2611"/>
    <cellStyle name="Output 2 5" xfId="2612"/>
    <cellStyle name="Output 2 6" xfId="2613"/>
    <cellStyle name="Output 2 7" xfId="2614"/>
    <cellStyle name="Output 2 8" xfId="2615"/>
    <cellStyle name="Output 2 9" xfId="2616"/>
    <cellStyle name="Output 3" xfId="2617"/>
    <cellStyle name="Output 3 2" xfId="2618"/>
    <cellStyle name="Percent 10" xfId="2619"/>
    <cellStyle name="Percent 10 2" xfId="2620"/>
    <cellStyle name="Percent 10 2 2" xfId="2621"/>
    <cellStyle name="Percent 10 3" xfId="2622"/>
    <cellStyle name="Percent 10 3 2" xfId="2623"/>
    <cellStyle name="Percent 10 4" xfId="2624"/>
    <cellStyle name="Percent 10 4 2" xfId="2625"/>
    <cellStyle name="Percent 10 5" xfId="2626"/>
    <cellStyle name="Percent 10 5 2" xfId="2627"/>
    <cellStyle name="Percent 10 6" xfId="2628"/>
    <cellStyle name="Percent 10 6 2" xfId="2629"/>
    <cellStyle name="Percent 10 7" xfId="2630"/>
    <cellStyle name="Percent 10 7 2" xfId="2631"/>
    <cellStyle name="Percent 10 8" xfId="2632"/>
    <cellStyle name="Percent 10 8 2" xfId="2633"/>
    <cellStyle name="Percent 10 9" xfId="2634"/>
    <cellStyle name="Percent 11" xfId="2635"/>
    <cellStyle name="Percent 11 2" xfId="2636"/>
    <cellStyle name="Percent 11 2 2" xfId="2637"/>
    <cellStyle name="Percent 11 3" xfId="2638"/>
    <cellStyle name="Percent 11 3 2" xfId="2639"/>
    <cellStyle name="Percent 11 4" xfId="2640"/>
    <cellStyle name="Percent 11 4 2" xfId="2641"/>
    <cellStyle name="Percent 11 5" xfId="2642"/>
    <cellStyle name="Percent 11 5 2" xfId="2643"/>
    <cellStyle name="Percent 11 6" xfId="2644"/>
    <cellStyle name="Percent 11 6 2" xfId="2645"/>
    <cellStyle name="Percent 11 7" xfId="2646"/>
    <cellStyle name="Percent 11 7 2" xfId="2647"/>
    <cellStyle name="Percent 11 8" xfId="2648"/>
    <cellStyle name="Percent 11 8 2" xfId="2649"/>
    <cellStyle name="Percent 11 9" xfId="2650"/>
    <cellStyle name="Percent 12" xfId="2651"/>
    <cellStyle name="Percent 12 2" xfId="2652"/>
    <cellStyle name="Percent 12 2 2" xfId="2653"/>
    <cellStyle name="Percent 12 3" xfId="2654"/>
    <cellStyle name="Percent 12 3 2" xfId="2655"/>
    <cellStyle name="Percent 12 4" xfId="2656"/>
    <cellStyle name="Percent 12 4 2" xfId="2657"/>
    <cellStyle name="Percent 12 5" xfId="2658"/>
    <cellStyle name="Percent 12 5 2" xfId="2659"/>
    <cellStyle name="Percent 12 6" xfId="2660"/>
    <cellStyle name="Percent 12 6 2" xfId="2661"/>
    <cellStyle name="Percent 12 7" xfId="2662"/>
    <cellStyle name="Percent 12 7 2" xfId="2663"/>
    <cellStyle name="Percent 12 8" xfId="2664"/>
    <cellStyle name="Percent 12 8 2" xfId="2665"/>
    <cellStyle name="Percent 12 9" xfId="2666"/>
    <cellStyle name="Percent 13" xfId="2667"/>
    <cellStyle name="Percent 13 2" xfId="2668"/>
    <cellStyle name="Percent 13 2 2" xfId="2669"/>
    <cellStyle name="Percent 13 3" xfId="2670"/>
    <cellStyle name="Percent 13 3 2" xfId="2671"/>
    <cellStyle name="Percent 13 4" xfId="2672"/>
    <cellStyle name="Percent 13 4 2" xfId="2673"/>
    <cellStyle name="Percent 13 5" xfId="2674"/>
    <cellStyle name="Percent 13 5 2" xfId="2675"/>
    <cellStyle name="Percent 13 6" xfId="2676"/>
    <cellStyle name="Percent 13 6 2" xfId="2677"/>
    <cellStyle name="Percent 13 7" xfId="2678"/>
    <cellStyle name="Percent 13 7 2" xfId="2679"/>
    <cellStyle name="Percent 13 8" xfId="2680"/>
    <cellStyle name="Percent 13 8 2" xfId="2681"/>
    <cellStyle name="Percent 13 9" xfId="2682"/>
    <cellStyle name="Percent 14" xfId="2683"/>
    <cellStyle name="Percent 14 2" xfId="2684"/>
    <cellStyle name="Percent 14 2 2" xfId="2685"/>
    <cellStyle name="Percent 14 3" xfId="2686"/>
    <cellStyle name="Percent 14 3 2" xfId="2687"/>
    <cellStyle name="Percent 14 4" xfId="2688"/>
    <cellStyle name="Percent 14 4 2" xfId="2689"/>
    <cellStyle name="Percent 14 5" xfId="2690"/>
    <cellStyle name="Percent 14 5 2" xfId="2691"/>
    <cellStyle name="Percent 14 6" xfId="2692"/>
    <cellStyle name="Percent 14 6 2" xfId="2693"/>
    <cellStyle name="Percent 14 7" xfId="2694"/>
    <cellStyle name="Percent 14 7 2" xfId="2695"/>
    <cellStyle name="Percent 14 8" xfId="2696"/>
    <cellStyle name="Percent 14 8 2" xfId="2697"/>
    <cellStyle name="Percent 14 9" xfId="2698"/>
    <cellStyle name="Percent 15" xfId="2699"/>
    <cellStyle name="Percent 15 10" xfId="2700"/>
    <cellStyle name="Percent 15 10 2" xfId="2701"/>
    <cellStyle name="Percent 15 11" xfId="2702"/>
    <cellStyle name="Percent 15 11 2" xfId="2703"/>
    <cellStyle name="Percent 15 12" xfId="2704"/>
    <cellStyle name="Percent 15 12 2" xfId="2705"/>
    <cellStyle name="Percent 15 13" xfId="2706"/>
    <cellStyle name="Percent 15 13 2" xfId="2707"/>
    <cellStyle name="Percent 15 14" xfId="2708"/>
    <cellStyle name="Percent 15 14 2" xfId="2709"/>
    <cellStyle name="Percent 15 2" xfId="2710"/>
    <cellStyle name="Percent 15 2 2" xfId="2711"/>
    <cellStyle name="Percent 15 2 3" xfId="2712"/>
    <cellStyle name="Percent 15 2 4" xfId="2713"/>
    <cellStyle name="Percent 15 2 5" xfId="2714"/>
    <cellStyle name="Percent 15 2 6" xfId="2715"/>
    <cellStyle name="Percent 15 2 7" xfId="2716"/>
    <cellStyle name="Percent 15 2 8" xfId="2717"/>
    <cellStyle name="Percent 15 3" xfId="2718"/>
    <cellStyle name="Percent 15 4" xfId="2719"/>
    <cellStyle name="Percent 15 4 2" xfId="2720"/>
    <cellStyle name="Percent 15 5" xfId="2721"/>
    <cellStyle name="Percent 15 6" xfId="2722"/>
    <cellStyle name="Percent 15 7" xfId="2723"/>
    <cellStyle name="Percent 15 8" xfId="2724"/>
    <cellStyle name="Percent 15 9" xfId="2725"/>
    <cellStyle name="Percent 15 9 2" xfId="2726"/>
    <cellStyle name="Percent 16 2" xfId="2727"/>
    <cellStyle name="Percent 16 3" xfId="2728"/>
    <cellStyle name="Percent 16 3 10" xfId="2729"/>
    <cellStyle name="Percent 16 3 10 2" xfId="2730"/>
    <cellStyle name="Percent 16 3 11" xfId="2731"/>
    <cellStyle name="Percent 16 3 11 2" xfId="2732"/>
    <cellStyle name="Percent 16 3 12" xfId="2733"/>
    <cellStyle name="Percent 16 3 12 2" xfId="2734"/>
    <cellStyle name="Percent 16 3 13" xfId="2735"/>
    <cellStyle name="Percent 16 3 13 2" xfId="2736"/>
    <cellStyle name="Percent 16 3 14" xfId="2737"/>
    <cellStyle name="Percent 16 3 14 2" xfId="2738"/>
    <cellStyle name="Percent 16 3 15" xfId="2739"/>
    <cellStyle name="Percent 16 3 15 2" xfId="2740"/>
    <cellStyle name="Percent 16 3 16" xfId="2741"/>
    <cellStyle name="Percent 16 3 16 2" xfId="2742"/>
    <cellStyle name="Percent 16 3 17" xfId="2743"/>
    <cellStyle name="Percent 16 3 17 2" xfId="2744"/>
    <cellStyle name="Percent 16 3 18" xfId="2745"/>
    <cellStyle name="Percent 16 3 2" xfId="2746"/>
    <cellStyle name="Percent 16 3 2 2" xfId="2747"/>
    <cellStyle name="Percent 16 3 3" xfId="2748"/>
    <cellStyle name="Percent 16 3 3 2" xfId="2749"/>
    <cellStyle name="Percent 16 3 4" xfId="2750"/>
    <cellStyle name="Percent 16 3 4 2" xfId="2751"/>
    <cellStyle name="Percent 16 3 5" xfId="2752"/>
    <cellStyle name="Percent 16 3 5 2" xfId="2753"/>
    <cellStyle name="Percent 16 3 6" xfId="2754"/>
    <cellStyle name="Percent 16 3 6 2" xfId="2755"/>
    <cellStyle name="Percent 16 3 7" xfId="2756"/>
    <cellStyle name="Percent 16 3 7 2" xfId="2757"/>
    <cellStyle name="Percent 16 3 8" xfId="2758"/>
    <cellStyle name="Percent 16 3 8 2" xfId="2759"/>
    <cellStyle name="Percent 16 3 9" xfId="2760"/>
    <cellStyle name="Percent 16 3 9 2" xfId="2761"/>
    <cellStyle name="Percent 16 4" xfId="2762"/>
    <cellStyle name="Percent 16 4 10" xfId="2763"/>
    <cellStyle name="Percent 16 4 10 2" xfId="2764"/>
    <cellStyle name="Percent 16 4 11" xfId="2765"/>
    <cellStyle name="Percent 16 4 11 2" xfId="2766"/>
    <cellStyle name="Percent 16 4 12" xfId="2767"/>
    <cellStyle name="Percent 16 4 12 2" xfId="2768"/>
    <cellStyle name="Percent 16 4 13" xfId="2769"/>
    <cellStyle name="Percent 16 4 13 2" xfId="2770"/>
    <cellStyle name="Percent 16 4 14" xfId="2771"/>
    <cellStyle name="Percent 16 4 14 2" xfId="2772"/>
    <cellStyle name="Percent 16 4 15" xfId="2773"/>
    <cellStyle name="Percent 16 4 15 2" xfId="2774"/>
    <cellStyle name="Percent 16 4 16" xfId="2775"/>
    <cellStyle name="Percent 16 4 16 2" xfId="2776"/>
    <cellStyle name="Percent 16 4 17" xfId="2777"/>
    <cellStyle name="Percent 16 4 17 2" xfId="2778"/>
    <cellStyle name="Percent 16 4 18" xfId="2779"/>
    <cellStyle name="Percent 16 4 2" xfId="2780"/>
    <cellStyle name="Percent 16 4 2 2" xfId="2781"/>
    <cellStyle name="Percent 16 4 3" xfId="2782"/>
    <cellStyle name="Percent 16 4 3 2" xfId="2783"/>
    <cellStyle name="Percent 16 4 4" xfId="2784"/>
    <cellStyle name="Percent 16 4 4 2" xfId="2785"/>
    <cellStyle name="Percent 16 4 5" xfId="2786"/>
    <cellStyle name="Percent 16 4 5 2" xfId="2787"/>
    <cellStyle name="Percent 16 4 6" xfId="2788"/>
    <cellStyle name="Percent 16 4 6 2" xfId="2789"/>
    <cellStyle name="Percent 16 4 7" xfId="2790"/>
    <cellStyle name="Percent 16 4 7 2" xfId="2791"/>
    <cellStyle name="Percent 16 4 8" xfId="2792"/>
    <cellStyle name="Percent 16 4 8 2" xfId="2793"/>
    <cellStyle name="Percent 16 4 9" xfId="2794"/>
    <cellStyle name="Percent 16 4 9 2" xfId="2795"/>
    <cellStyle name="Percent 16 5" xfId="2796"/>
    <cellStyle name="Percent 16 5 10" xfId="2797"/>
    <cellStyle name="Percent 16 5 10 2" xfId="2798"/>
    <cellStyle name="Percent 16 5 11" xfId="2799"/>
    <cellStyle name="Percent 16 5 11 2" xfId="2800"/>
    <cellStyle name="Percent 16 5 12" xfId="2801"/>
    <cellStyle name="Percent 16 5 12 2" xfId="2802"/>
    <cellStyle name="Percent 16 5 13" xfId="2803"/>
    <cellStyle name="Percent 16 5 13 2" xfId="2804"/>
    <cellStyle name="Percent 16 5 14" xfId="2805"/>
    <cellStyle name="Percent 16 5 14 2" xfId="2806"/>
    <cellStyle name="Percent 16 5 15" xfId="2807"/>
    <cellStyle name="Percent 16 5 15 2" xfId="2808"/>
    <cellStyle name="Percent 16 5 16" xfId="2809"/>
    <cellStyle name="Percent 16 5 16 2" xfId="2810"/>
    <cellStyle name="Percent 16 5 17" xfId="2811"/>
    <cellStyle name="Percent 16 5 17 2" xfId="2812"/>
    <cellStyle name="Percent 16 5 18" xfId="2813"/>
    <cellStyle name="Percent 16 5 2" xfId="2814"/>
    <cellStyle name="Percent 16 5 2 2" xfId="2815"/>
    <cellStyle name="Percent 16 5 3" xfId="2816"/>
    <cellStyle name="Percent 16 5 3 2" xfId="2817"/>
    <cellStyle name="Percent 16 5 4" xfId="2818"/>
    <cellStyle name="Percent 16 5 4 2" xfId="2819"/>
    <cellStyle name="Percent 16 5 5" xfId="2820"/>
    <cellStyle name="Percent 16 5 5 2" xfId="2821"/>
    <cellStyle name="Percent 16 5 6" xfId="2822"/>
    <cellStyle name="Percent 16 5 6 2" xfId="2823"/>
    <cellStyle name="Percent 16 5 7" xfId="2824"/>
    <cellStyle name="Percent 16 5 7 2" xfId="2825"/>
    <cellStyle name="Percent 16 5 8" xfId="2826"/>
    <cellStyle name="Percent 16 5 8 2" xfId="2827"/>
    <cellStyle name="Percent 16 5 9" xfId="2828"/>
    <cellStyle name="Percent 16 5 9 2" xfId="2829"/>
    <cellStyle name="Percent 16 6" xfId="2830"/>
    <cellStyle name="Percent 16 6 10" xfId="2831"/>
    <cellStyle name="Percent 16 6 10 2" xfId="2832"/>
    <cellStyle name="Percent 16 6 11" xfId="2833"/>
    <cellStyle name="Percent 16 6 11 2" xfId="2834"/>
    <cellStyle name="Percent 16 6 12" xfId="2835"/>
    <cellStyle name="Percent 16 6 12 2" xfId="2836"/>
    <cellStyle name="Percent 16 6 13" xfId="2837"/>
    <cellStyle name="Percent 16 6 13 2" xfId="2838"/>
    <cellStyle name="Percent 16 6 14" xfId="2839"/>
    <cellStyle name="Percent 16 6 14 2" xfId="2840"/>
    <cellStyle name="Percent 16 6 15" xfId="2841"/>
    <cellStyle name="Percent 16 6 15 2" xfId="2842"/>
    <cellStyle name="Percent 16 6 16" xfId="2843"/>
    <cellStyle name="Percent 16 6 16 2" xfId="2844"/>
    <cellStyle name="Percent 16 6 17" xfId="2845"/>
    <cellStyle name="Percent 16 6 17 2" xfId="2846"/>
    <cellStyle name="Percent 16 6 18" xfId="2847"/>
    <cellStyle name="Percent 16 6 2" xfId="2848"/>
    <cellStyle name="Percent 16 6 2 2" xfId="2849"/>
    <cellStyle name="Percent 16 6 3" xfId="2850"/>
    <cellStyle name="Percent 16 6 3 2" xfId="2851"/>
    <cellStyle name="Percent 16 6 4" xfId="2852"/>
    <cellStyle name="Percent 16 6 4 2" xfId="2853"/>
    <cellStyle name="Percent 16 6 5" xfId="2854"/>
    <cellStyle name="Percent 16 6 5 2" xfId="2855"/>
    <cellStyle name="Percent 16 6 6" xfId="2856"/>
    <cellStyle name="Percent 16 6 6 2" xfId="2857"/>
    <cellStyle name="Percent 16 6 7" xfId="2858"/>
    <cellStyle name="Percent 16 6 7 2" xfId="2859"/>
    <cellStyle name="Percent 16 6 8" xfId="2860"/>
    <cellStyle name="Percent 16 6 8 2" xfId="2861"/>
    <cellStyle name="Percent 16 6 9" xfId="2862"/>
    <cellStyle name="Percent 16 6 9 2" xfId="2863"/>
    <cellStyle name="Percent 16 7" xfId="2864"/>
    <cellStyle name="Percent 16 7 10" xfId="2865"/>
    <cellStyle name="Percent 16 7 10 2" xfId="2866"/>
    <cellStyle name="Percent 16 7 11" xfId="2867"/>
    <cellStyle name="Percent 16 7 11 2" xfId="2868"/>
    <cellStyle name="Percent 16 7 12" xfId="2869"/>
    <cellStyle name="Percent 16 7 12 2" xfId="2870"/>
    <cellStyle name="Percent 16 7 13" xfId="2871"/>
    <cellStyle name="Percent 16 7 13 2" xfId="2872"/>
    <cellStyle name="Percent 16 7 14" xfId="2873"/>
    <cellStyle name="Percent 16 7 14 2" xfId="2874"/>
    <cellStyle name="Percent 16 7 15" xfId="2875"/>
    <cellStyle name="Percent 16 7 15 2" xfId="2876"/>
    <cellStyle name="Percent 16 7 16" xfId="2877"/>
    <cellStyle name="Percent 16 7 16 2" xfId="2878"/>
    <cellStyle name="Percent 16 7 17" xfId="2879"/>
    <cellStyle name="Percent 16 7 17 2" xfId="2880"/>
    <cellStyle name="Percent 16 7 18" xfId="2881"/>
    <cellStyle name="Percent 16 7 2" xfId="2882"/>
    <cellStyle name="Percent 16 7 2 2" xfId="2883"/>
    <cellStyle name="Percent 16 7 3" xfId="2884"/>
    <cellStyle name="Percent 16 7 3 2" xfId="2885"/>
    <cellStyle name="Percent 16 7 4" xfId="2886"/>
    <cellStyle name="Percent 16 7 4 2" xfId="2887"/>
    <cellStyle name="Percent 16 7 5" xfId="2888"/>
    <cellStyle name="Percent 16 7 5 2" xfId="2889"/>
    <cellStyle name="Percent 16 7 6" xfId="2890"/>
    <cellStyle name="Percent 16 7 6 2" xfId="2891"/>
    <cellStyle name="Percent 16 7 7" xfId="2892"/>
    <cellStyle name="Percent 16 7 7 2" xfId="2893"/>
    <cellStyle name="Percent 16 7 8" xfId="2894"/>
    <cellStyle name="Percent 16 7 8 2" xfId="2895"/>
    <cellStyle name="Percent 16 7 9" xfId="2896"/>
    <cellStyle name="Percent 16 7 9 2" xfId="2897"/>
    <cellStyle name="Percent 16 8" xfId="2898"/>
    <cellStyle name="Percent 16 8 10" xfId="2899"/>
    <cellStyle name="Percent 16 8 10 2" xfId="2900"/>
    <cellStyle name="Percent 16 8 11" xfId="2901"/>
    <cellStyle name="Percent 16 8 11 2" xfId="2902"/>
    <cellStyle name="Percent 16 8 12" xfId="2903"/>
    <cellStyle name="Percent 16 8 12 2" xfId="2904"/>
    <cellStyle name="Percent 16 8 13" xfId="2905"/>
    <cellStyle name="Percent 16 8 13 2" xfId="2906"/>
    <cellStyle name="Percent 16 8 14" xfId="2907"/>
    <cellStyle name="Percent 16 8 14 2" xfId="2908"/>
    <cellStyle name="Percent 16 8 15" xfId="2909"/>
    <cellStyle name="Percent 16 8 15 2" xfId="2910"/>
    <cellStyle name="Percent 16 8 16" xfId="2911"/>
    <cellStyle name="Percent 16 8 16 2" xfId="2912"/>
    <cellStyle name="Percent 16 8 17" xfId="2913"/>
    <cellStyle name="Percent 16 8 17 2" xfId="2914"/>
    <cellStyle name="Percent 16 8 18" xfId="2915"/>
    <cellStyle name="Percent 16 8 2" xfId="2916"/>
    <cellStyle name="Percent 16 8 2 2" xfId="2917"/>
    <cellStyle name="Percent 16 8 3" xfId="2918"/>
    <cellStyle name="Percent 16 8 3 2" xfId="2919"/>
    <cellStyle name="Percent 16 8 4" xfId="2920"/>
    <cellStyle name="Percent 16 8 4 2" xfId="2921"/>
    <cellStyle name="Percent 16 8 5" xfId="2922"/>
    <cellStyle name="Percent 16 8 5 2" xfId="2923"/>
    <cellStyle name="Percent 16 8 6" xfId="2924"/>
    <cellStyle name="Percent 16 8 6 2" xfId="2925"/>
    <cellStyle name="Percent 16 8 7" xfId="2926"/>
    <cellStyle name="Percent 16 8 7 2" xfId="2927"/>
    <cellStyle name="Percent 16 8 8" xfId="2928"/>
    <cellStyle name="Percent 16 8 8 2" xfId="2929"/>
    <cellStyle name="Percent 16 8 9" xfId="2930"/>
    <cellStyle name="Percent 16 8 9 2" xfId="2931"/>
    <cellStyle name="Percent 16 9" xfId="2932"/>
    <cellStyle name="Percent 16 9 10" xfId="2933"/>
    <cellStyle name="Percent 16 9 10 2" xfId="2934"/>
    <cellStyle name="Percent 16 9 11" xfId="2935"/>
    <cellStyle name="Percent 16 9 11 2" xfId="2936"/>
    <cellStyle name="Percent 16 9 12" xfId="2937"/>
    <cellStyle name="Percent 16 9 12 2" xfId="2938"/>
    <cellStyle name="Percent 16 9 13" xfId="2939"/>
    <cellStyle name="Percent 16 9 13 2" xfId="2940"/>
    <cellStyle name="Percent 16 9 14" xfId="2941"/>
    <cellStyle name="Percent 16 9 14 2" xfId="2942"/>
    <cellStyle name="Percent 16 9 15" xfId="2943"/>
    <cellStyle name="Percent 16 9 15 2" xfId="2944"/>
    <cellStyle name="Percent 16 9 16" xfId="2945"/>
    <cellStyle name="Percent 16 9 16 2" xfId="2946"/>
    <cellStyle name="Percent 16 9 17" xfId="2947"/>
    <cellStyle name="Percent 16 9 17 2" xfId="2948"/>
    <cellStyle name="Percent 16 9 18" xfId="2949"/>
    <cellStyle name="Percent 16 9 2" xfId="2950"/>
    <cellStyle name="Percent 16 9 2 2" xfId="2951"/>
    <cellStyle name="Percent 16 9 3" xfId="2952"/>
    <cellStyle name="Percent 16 9 3 2" xfId="2953"/>
    <cellStyle name="Percent 16 9 4" xfId="2954"/>
    <cellStyle name="Percent 16 9 4 2" xfId="2955"/>
    <cellStyle name="Percent 16 9 5" xfId="2956"/>
    <cellStyle name="Percent 16 9 5 2" xfId="2957"/>
    <cellStyle name="Percent 16 9 6" xfId="2958"/>
    <cellStyle name="Percent 16 9 6 2" xfId="2959"/>
    <cellStyle name="Percent 16 9 7" xfId="2960"/>
    <cellStyle name="Percent 16 9 7 2" xfId="2961"/>
    <cellStyle name="Percent 16 9 8" xfId="2962"/>
    <cellStyle name="Percent 16 9 8 2" xfId="2963"/>
    <cellStyle name="Percent 16 9 9" xfId="2964"/>
    <cellStyle name="Percent 16 9 9 2" xfId="2965"/>
    <cellStyle name="Percent 17" xfId="2966"/>
    <cellStyle name="Percent 17 2" xfId="2967"/>
    <cellStyle name="Percent 2" xfId="2968"/>
    <cellStyle name="Percent 2 10" xfId="2969"/>
    <cellStyle name="Percent 2 10 2" xfId="2970"/>
    <cellStyle name="Percent 2 10 2 2" xfId="2971"/>
    <cellStyle name="Percent 2 10 3" xfId="2972"/>
    <cellStyle name="Percent 2 10 3 2" xfId="2973"/>
    <cellStyle name="Percent 2 10 4" xfId="2974"/>
    <cellStyle name="Percent 2 10 4 2" xfId="2975"/>
    <cellStyle name="Percent 2 10 5" xfId="2976"/>
    <cellStyle name="Percent 2 10 5 2" xfId="2977"/>
    <cellStyle name="Percent 2 10 6" xfId="2978"/>
    <cellStyle name="Percent 2 10 6 2" xfId="2979"/>
    <cellStyle name="Percent 2 10 7" xfId="2980"/>
    <cellStyle name="Percent 2 10 7 2" xfId="2981"/>
    <cellStyle name="Percent 2 10 8" xfId="2982"/>
    <cellStyle name="Percent 2 10 8 2" xfId="2983"/>
    <cellStyle name="Percent 2 10 9" xfId="2984"/>
    <cellStyle name="Percent 2 11" xfId="2985"/>
    <cellStyle name="Percent 2 11 2" xfId="2986"/>
    <cellStyle name="Percent 2 11 2 2" xfId="2987"/>
    <cellStyle name="Percent 2 11 3" xfId="2988"/>
    <cellStyle name="Percent 2 11 3 2" xfId="2989"/>
    <cellStyle name="Percent 2 11 4" xfId="2990"/>
    <cellStyle name="Percent 2 11 4 2" xfId="2991"/>
    <cellStyle name="Percent 2 11 5" xfId="2992"/>
    <cellStyle name="Percent 2 11 5 2" xfId="2993"/>
    <cellStyle name="Percent 2 11 6" xfId="2994"/>
    <cellStyle name="Percent 2 11 6 2" xfId="2995"/>
    <cellStyle name="Percent 2 11 7" xfId="2996"/>
    <cellStyle name="Percent 2 11 7 2" xfId="2997"/>
    <cellStyle name="Percent 2 11 8" xfId="2998"/>
    <cellStyle name="Percent 2 11 8 2" xfId="2999"/>
    <cellStyle name="Percent 2 11 9" xfId="3000"/>
    <cellStyle name="Percent 2 12" xfId="3001"/>
    <cellStyle name="Percent 2 12 2" xfId="3002"/>
    <cellStyle name="Percent 2 13" xfId="3003"/>
    <cellStyle name="Percent 2 13 2" xfId="3004"/>
    <cellStyle name="Percent 2 14" xfId="3005"/>
    <cellStyle name="Percent 2 14 2" xfId="3006"/>
    <cellStyle name="Percent 2 15" xfId="3007"/>
    <cellStyle name="Percent 2 15 2" xfId="3008"/>
    <cellStyle name="Percent 2 16" xfId="3009"/>
    <cellStyle name="Percent 2 16 2" xfId="3010"/>
    <cellStyle name="Percent 2 17" xfId="3011"/>
    <cellStyle name="Percent 2 17 2" xfId="3012"/>
    <cellStyle name="Percent 2 18" xfId="3013"/>
    <cellStyle name="Percent 2 18 2" xfId="3014"/>
    <cellStyle name="Percent 2 19" xfId="3015"/>
    <cellStyle name="Percent 2 2" xfId="3016"/>
    <cellStyle name="Percent 2 2 10" xfId="3017"/>
    <cellStyle name="Percent 2 2 2" xfId="3018"/>
    <cellStyle name="Percent 2 2 2 2" xfId="3019"/>
    <cellStyle name="Percent 2 2 2 3" xfId="3020"/>
    <cellStyle name="Percent 2 2 3" xfId="3021"/>
    <cellStyle name="Percent 2 2 3 2" xfId="3022"/>
    <cellStyle name="Percent 2 2 3 2 2" xfId="3023"/>
    <cellStyle name="Percent 2 2 3 3" xfId="3024"/>
    <cellStyle name="Percent 2 2 4" xfId="3025"/>
    <cellStyle name="Percent 2 2 4 2" xfId="3026"/>
    <cellStyle name="Percent 2 2 5" xfId="3027"/>
    <cellStyle name="Percent 2 2 5 2" xfId="3028"/>
    <cellStyle name="Percent 2 2 6" xfId="3029"/>
    <cellStyle name="Percent 2 2 6 2" xfId="3030"/>
    <cellStyle name="Percent 2 2 7" xfId="3031"/>
    <cellStyle name="Percent 2 2 7 2" xfId="3032"/>
    <cellStyle name="Percent 2 2 8" xfId="3033"/>
    <cellStyle name="Percent 2 2 8 2" xfId="3034"/>
    <cellStyle name="Percent 2 2 9" xfId="3035"/>
    <cellStyle name="Percent 2 20" xfId="3036"/>
    <cellStyle name="Percent 2 3" xfId="3037"/>
    <cellStyle name="Percent 2 3 10" xfId="3038"/>
    <cellStyle name="Percent 2 3 2" xfId="3039"/>
    <cellStyle name="Percent 2 3 2 2" xfId="3040"/>
    <cellStyle name="Percent 2 3 2 3" xfId="3041"/>
    <cellStyle name="Percent 2 3 3" xfId="3042"/>
    <cellStyle name="Percent 2 3 3 2" xfId="3043"/>
    <cellStyle name="Percent 2 3 3 2 2" xfId="3044"/>
    <cellStyle name="Percent 2 3 3 3" xfId="3045"/>
    <cellStyle name="Percent 2 3 4" xfId="3046"/>
    <cellStyle name="Percent 2 3 4 2" xfId="3047"/>
    <cellStyle name="Percent 2 3 5" xfId="3048"/>
    <cellStyle name="Percent 2 3 5 2" xfId="3049"/>
    <cellStyle name="Percent 2 3 6" xfId="3050"/>
    <cellStyle name="Percent 2 3 6 2" xfId="3051"/>
    <cellStyle name="Percent 2 3 7" xfId="3052"/>
    <cellStyle name="Percent 2 3 7 2" xfId="3053"/>
    <cellStyle name="Percent 2 3 8" xfId="3054"/>
    <cellStyle name="Percent 2 3 8 2" xfId="3055"/>
    <cellStyle name="Percent 2 3 9" xfId="3056"/>
    <cellStyle name="Percent 2 4" xfId="3057"/>
    <cellStyle name="Percent 2 4 10" xfId="3058"/>
    <cellStyle name="Percent 2 4 2" xfId="3059"/>
    <cellStyle name="Percent 2 4 2 2" xfId="3060"/>
    <cellStyle name="Percent 2 4 3" xfId="3061"/>
    <cellStyle name="Percent 2 4 3 2" xfId="3062"/>
    <cellStyle name="Percent 2 4 4" xfId="3063"/>
    <cellStyle name="Percent 2 4 4 2" xfId="3064"/>
    <cellStyle name="Percent 2 4 5" xfId="3065"/>
    <cellStyle name="Percent 2 4 5 2" xfId="3066"/>
    <cellStyle name="Percent 2 4 6" xfId="3067"/>
    <cellStyle name="Percent 2 4 6 2" xfId="3068"/>
    <cellStyle name="Percent 2 4 7" xfId="3069"/>
    <cellStyle name="Percent 2 4 7 2" xfId="3070"/>
    <cellStyle name="Percent 2 4 8" xfId="3071"/>
    <cellStyle name="Percent 2 4 8 2" xfId="3072"/>
    <cellStyle name="Percent 2 4 9" xfId="3073"/>
    <cellStyle name="Percent 2 5" xfId="3074"/>
    <cellStyle name="Percent 2 5 2" xfId="3075"/>
    <cellStyle name="Percent 2 5 2 2" xfId="3076"/>
    <cellStyle name="Percent 2 5 3" xfId="3077"/>
    <cellStyle name="Percent 2 5 3 2" xfId="3078"/>
    <cellStyle name="Percent 2 5 4" xfId="3079"/>
    <cellStyle name="Percent 2 5 4 2" xfId="3080"/>
    <cellStyle name="Percent 2 5 5" xfId="3081"/>
    <cellStyle name="Percent 2 5 5 2" xfId="3082"/>
    <cellStyle name="Percent 2 5 6" xfId="3083"/>
    <cellStyle name="Percent 2 5 6 2" xfId="3084"/>
    <cellStyle name="Percent 2 5 7" xfId="3085"/>
    <cellStyle name="Percent 2 5 7 2" xfId="3086"/>
    <cellStyle name="Percent 2 5 8" xfId="3087"/>
    <cellStyle name="Percent 2 5 8 2" xfId="3088"/>
    <cellStyle name="Percent 2 5 9" xfId="3089"/>
    <cellStyle name="Percent 2 6" xfId="3090"/>
    <cellStyle name="Percent 2 6 2" xfId="3091"/>
    <cellStyle name="Percent 2 6 2 2" xfId="3092"/>
    <cellStyle name="Percent 2 6 3" xfId="3093"/>
    <cellStyle name="Percent 2 6 3 2" xfId="3094"/>
    <cellStyle name="Percent 2 6 4" xfId="3095"/>
    <cellStyle name="Percent 2 6 4 2" xfId="3096"/>
    <cellStyle name="Percent 2 6 5" xfId="3097"/>
    <cellStyle name="Percent 2 6 5 2" xfId="3098"/>
    <cellStyle name="Percent 2 6 6" xfId="3099"/>
    <cellStyle name="Percent 2 6 6 2" xfId="3100"/>
    <cellStyle name="Percent 2 6 7" xfId="3101"/>
    <cellStyle name="Percent 2 6 7 2" xfId="3102"/>
    <cellStyle name="Percent 2 6 8" xfId="3103"/>
    <cellStyle name="Percent 2 6 8 2" xfId="3104"/>
    <cellStyle name="Percent 2 6 9" xfId="3105"/>
    <cellStyle name="Percent 2 7" xfId="3106"/>
    <cellStyle name="Percent 2 7 2" xfId="3107"/>
    <cellStyle name="Percent 2 7 2 2" xfId="3108"/>
    <cellStyle name="Percent 2 7 3" xfId="3109"/>
    <cellStyle name="Percent 2 7 3 2" xfId="3110"/>
    <cellStyle name="Percent 2 7 4" xfId="3111"/>
    <cellStyle name="Percent 2 7 4 2" xfId="3112"/>
    <cellStyle name="Percent 2 7 5" xfId="3113"/>
    <cellStyle name="Percent 2 7 5 2" xfId="3114"/>
    <cellStyle name="Percent 2 7 6" xfId="3115"/>
    <cellStyle name="Percent 2 7 6 2" xfId="3116"/>
    <cellStyle name="Percent 2 7 7" xfId="3117"/>
    <cellStyle name="Percent 2 7 7 2" xfId="3118"/>
    <cellStyle name="Percent 2 7 8" xfId="3119"/>
    <cellStyle name="Percent 2 7 8 2" xfId="3120"/>
    <cellStyle name="Percent 2 7 9" xfId="3121"/>
    <cellStyle name="Percent 2 8" xfId="3122"/>
    <cellStyle name="Percent 2 8 2" xfId="3123"/>
    <cellStyle name="Percent 2 8 2 2" xfId="3124"/>
    <cellStyle name="Percent 2 8 3" xfId="3125"/>
    <cellStyle name="Percent 2 8 3 2" xfId="3126"/>
    <cellStyle name="Percent 2 8 4" xfId="3127"/>
    <cellStyle name="Percent 2 8 4 2" xfId="3128"/>
    <cellStyle name="Percent 2 8 5" xfId="3129"/>
    <cellStyle name="Percent 2 8 5 2" xfId="3130"/>
    <cellStyle name="Percent 2 8 6" xfId="3131"/>
    <cellStyle name="Percent 2 8 6 2" xfId="3132"/>
    <cellStyle name="Percent 2 8 7" xfId="3133"/>
    <cellStyle name="Percent 2 8 7 2" xfId="3134"/>
    <cellStyle name="Percent 2 8 8" xfId="3135"/>
    <cellStyle name="Percent 2 8 8 2" xfId="3136"/>
    <cellStyle name="Percent 2 8 9" xfId="3137"/>
    <cellStyle name="Percent 2 9" xfId="3138"/>
    <cellStyle name="Percent 2 9 2" xfId="3139"/>
    <cellStyle name="Percent 2 9 2 2" xfId="3140"/>
    <cellStyle name="Percent 2 9 3" xfId="3141"/>
    <cellStyle name="Percent 2 9 3 2" xfId="3142"/>
    <cellStyle name="Percent 2 9 4" xfId="3143"/>
    <cellStyle name="Percent 2 9 4 2" xfId="3144"/>
    <cellStyle name="Percent 2 9 5" xfId="3145"/>
    <cellStyle name="Percent 2 9 5 2" xfId="3146"/>
    <cellStyle name="Percent 2 9 6" xfId="3147"/>
    <cellStyle name="Percent 2 9 6 2" xfId="3148"/>
    <cellStyle name="Percent 2 9 7" xfId="3149"/>
    <cellStyle name="Percent 2 9 7 2" xfId="3150"/>
    <cellStyle name="Percent 2 9 8" xfId="3151"/>
    <cellStyle name="Percent 2 9 8 2" xfId="3152"/>
    <cellStyle name="Percent 2 9 9" xfId="3153"/>
    <cellStyle name="Percent 3" xfId="3154"/>
    <cellStyle name="Percent 3 10" xfId="3155"/>
    <cellStyle name="Percent 3 11" xfId="3156"/>
    <cellStyle name="Percent 3 12" xfId="3157"/>
    <cellStyle name="Percent 3 2" xfId="3158"/>
    <cellStyle name="Percent 3 2 2" xfId="3159"/>
    <cellStyle name="Percent 3 2 2 2" xfId="3160"/>
    <cellStyle name="Percent 3 2 3" xfId="3161"/>
    <cellStyle name="Percent 3 2 4" xfId="3162"/>
    <cellStyle name="Percent 3 3" xfId="3163"/>
    <cellStyle name="Percent 3 3 2" xfId="3164"/>
    <cellStyle name="Percent 3 3 2 2" xfId="3165"/>
    <cellStyle name="Percent 3 3 3" xfId="3166"/>
    <cellStyle name="Percent 3 3 3 2" xfId="3167"/>
    <cellStyle name="Percent 3 3 4" xfId="3168"/>
    <cellStyle name="Percent 3 4" xfId="3169"/>
    <cellStyle name="Percent 3 4 2" xfId="3170"/>
    <cellStyle name="Percent 3 4 2 2" xfId="3171"/>
    <cellStyle name="Percent 3 4 3" xfId="3172"/>
    <cellStyle name="Percent 3 5" xfId="3173"/>
    <cellStyle name="Percent 3 5 2" xfId="3174"/>
    <cellStyle name="Percent 3 5 3" xfId="3175"/>
    <cellStyle name="Percent 3 6" xfId="3176"/>
    <cellStyle name="Percent 3 6 2" xfId="3177"/>
    <cellStyle name="Percent 3 7" xfId="3178"/>
    <cellStyle name="Percent 3 7 2" xfId="3179"/>
    <cellStyle name="Percent 3 8" xfId="3180"/>
    <cellStyle name="Percent 3 8 2" xfId="3181"/>
    <cellStyle name="Percent 3 9" xfId="3182"/>
    <cellStyle name="Percent 3 9 2" xfId="3183"/>
    <cellStyle name="Percent 3 9 3" xfId="3184"/>
    <cellStyle name="Percent 4" xfId="3185"/>
    <cellStyle name="Percent 4 10" xfId="3186"/>
    <cellStyle name="Percent 4 10 2" xfId="3187"/>
    <cellStyle name="Percent 4 11" xfId="3188"/>
    <cellStyle name="Percent 4 11 2" xfId="3189"/>
    <cellStyle name="Percent 4 12" xfId="3190"/>
    <cellStyle name="Percent 4 12 2" xfId="3191"/>
    <cellStyle name="Percent 4 13" xfId="3192"/>
    <cellStyle name="Percent 4 13 2" xfId="3193"/>
    <cellStyle name="Percent 4 14" xfId="3194"/>
    <cellStyle name="Percent 4 15" xfId="3195"/>
    <cellStyle name="Percent 4 2" xfId="3196"/>
    <cellStyle name="Percent 4 2 10" xfId="3197"/>
    <cellStyle name="Percent 4 2 2" xfId="3198"/>
    <cellStyle name="Percent 4 2 2 2" xfId="3199"/>
    <cellStyle name="Percent 4 2 2 3" xfId="3200"/>
    <cellStyle name="Percent 4 2 3" xfId="3201"/>
    <cellStyle name="Percent 4 2 3 2" xfId="3202"/>
    <cellStyle name="Percent 4 2 4" xfId="3203"/>
    <cellStyle name="Percent 4 2 4 2" xfId="3204"/>
    <cellStyle name="Percent 4 2 5" xfId="3205"/>
    <cellStyle name="Percent 4 2 5 2" xfId="3206"/>
    <cellStyle name="Percent 4 2 6" xfId="3207"/>
    <cellStyle name="Percent 4 2 6 2" xfId="3208"/>
    <cellStyle name="Percent 4 2 7" xfId="3209"/>
    <cellStyle name="Percent 4 2 7 2" xfId="3210"/>
    <cellStyle name="Percent 4 2 8" xfId="3211"/>
    <cellStyle name="Percent 4 2 8 2" xfId="3212"/>
    <cellStyle name="Percent 4 2 9" xfId="3213"/>
    <cellStyle name="Percent 4 3" xfId="3214"/>
    <cellStyle name="Percent 4 3 10" xfId="3215"/>
    <cellStyle name="Percent 4 3 2" xfId="3216"/>
    <cellStyle name="Percent 4 3 2 2" xfId="3217"/>
    <cellStyle name="Percent 4 3 3" xfId="3218"/>
    <cellStyle name="Percent 4 3 3 2" xfId="3219"/>
    <cellStyle name="Percent 4 3 4" xfId="3220"/>
    <cellStyle name="Percent 4 3 4 2" xfId="3221"/>
    <cellStyle name="Percent 4 3 5" xfId="3222"/>
    <cellStyle name="Percent 4 3 5 2" xfId="3223"/>
    <cellStyle name="Percent 4 3 6" xfId="3224"/>
    <cellStyle name="Percent 4 3 6 2" xfId="3225"/>
    <cellStyle name="Percent 4 3 7" xfId="3226"/>
    <cellStyle name="Percent 4 3 7 2" xfId="3227"/>
    <cellStyle name="Percent 4 3 8" xfId="3228"/>
    <cellStyle name="Percent 4 3 8 2" xfId="3229"/>
    <cellStyle name="Percent 4 3 9" xfId="3230"/>
    <cellStyle name="Percent 4 4" xfId="3231"/>
    <cellStyle name="Percent 4 4 10" xfId="3232"/>
    <cellStyle name="Percent 4 4 2" xfId="3233"/>
    <cellStyle name="Percent 4 4 2 2" xfId="3234"/>
    <cellStyle name="Percent 4 4 3" xfId="3235"/>
    <cellStyle name="Percent 4 4 3 2" xfId="3236"/>
    <cellStyle name="Percent 4 4 4" xfId="3237"/>
    <cellStyle name="Percent 4 4 4 2" xfId="3238"/>
    <cellStyle name="Percent 4 4 5" xfId="3239"/>
    <cellStyle name="Percent 4 4 5 2" xfId="3240"/>
    <cellStyle name="Percent 4 4 6" xfId="3241"/>
    <cellStyle name="Percent 4 4 6 2" xfId="3242"/>
    <cellStyle name="Percent 4 4 7" xfId="3243"/>
    <cellStyle name="Percent 4 4 7 2" xfId="3244"/>
    <cellStyle name="Percent 4 4 8" xfId="3245"/>
    <cellStyle name="Percent 4 4 8 2" xfId="3246"/>
    <cellStyle name="Percent 4 4 9" xfId="3247"/>
    <cellStyle name="Percent 4 5" xfId="3248"/>
    <cellStyle name="Percent 4 5 2" xfId="3249"/>
    <cellStyle name="Percent 4 5 2 2" xfId="3250"/>
    <cellStyle name="Percent 4 5 3" xfId="3251"/>
    <cellStyle name="Percent 4 5 3 2" xfId="3252"/>
    <cellStyle name="Percent 4 5 4" xfId="3253"/>
    <cellStyle name="Percent 4 5 4 2" xfId="3254"/>
    <cellStyle name="Percent 4 5 5" xfId="3255"/>
    <cellStyle name="Percent 4 5 5 2" xfId="3256"/>
    <cellStyle name="Percent 4 5 6" xfId="3257"/>
    <cellStyle name="Percent 4 5 6 2" xfId="3258"/>
    <cellStyle name="Percent 4 5 7" xfId="3259"/>
    <cellStyle name="Percent 4 5 7 2" xfId="3260"/>
    <cellStyle name="Percent 4 5 8" xfId="3261"/>
    <cellStyle name="Percent 4 5 8 2" xfId="3262"/>
    <cellStyle name="Percent 4 5 9" xfId="3263"/>
    <cellStyle name="Percent 4 6" xfId="3264"/>
    <cellStyle name="Percent 4 6 2" xfId="3265"/>
    <cellStyle name="Percent 4 6 2 2" xfId="3266"/>
    <cellStyle name="Percent 4 6 3" xfId="3267"/>
    <cellStyle name="Percent 4 6 3 2" xfId="3268"/>
    <cellStyle name="Percent 4 6 4" xfId="3269"/>
    <cellStyle name="Percent 4 6 4 2" xfId="3270"/>
    <cellStyle name="Percent 4 6 5" xfId="3271"/>
    <cellStyle name="Percent 4 6 5 2" xfId="3272"/>
    <cellStyle name="Percent 4 6 6" xfId="3273"/>
    <cellStyle name="Percent 4 6 6 2" xfId="3274"/>
    <cellStyle name="Percent 4 6 7" xfId="3275"/>
    <cellStyle name="Percent 4 6 7 2" xfId="3276"/>
    <cellStyle name="Percent 4 6 8" xfId="3277"/>
    <cellStyle name="Percent 4 6 8 2" xfId="3278"/>
    <cellStyle name="Percent 4 6 9" xfId="3279"/>
    <cellStyle name="Percent 4 7" xfId="3280"/>
    <cellStyle name="Percent 4 7 2" xfId="3281"/>
    <cellStyle name="Percent 4 8" xfId="3282"/>
    <cellStyle name="Percent 4 8 2" xfId="3283"/>
    <cellStyle name="Percent 4 9" xfId="3284"/>
    <cellStyle name="Percent 4 9 2" xfId="3285"/>
    <cellStyle name="Percent 5" xfId="3286"/>
    <cellStyle name="Percent 5 10" xfId="3287"/>
    <cellStyle name="Percent 5 2" xfId="3288"/>
    <cellStyle name="Percent 5 2 2" xfId="3289"/>
    <cellStyle name="Percent 5 2 3" xfId="3290"/>
    <cellStyle name="Percent 5 3" xfId="3291"/>
    <cellStyle name="Percent 5 3 2" xfId="3292"/>
    <cellStyle name="Percent 5 4" xfId="3293"/>
    <cellStyle name="Percent 5 4 2" xfId="3294"/>
    <cellStyle name="Percent 5 5" xfId="3295"/>
    <cellStyle name="Percent 5 5 2" xfId="3296"/>
    <cellStyle name="Percent 5 6" xfId="3297"/>
    <cellStyle name="Percent 5 6 2" xfId="3298"/>
    <cellStyle name="Percent 5 7" xfId="3299"/>
    <cellStyle name="Percent 5 7 2" xfId="3300"/>
    <cellStyle name="Percent 5 8" xfId="3301"/>
    <cellStyle name="Percent 5 8 2" xfId="3302"/>
    <cellStyle name="Percent 5 9" xfId="3303"/>
    <cellStyle name="Percent 6" xfId="3304"/>
    <cellStyle name="Percent 6 10" xfId="3305"/>
    <cellStyle name="Percent 6 2" xfId="3306"/>
    <cellStyle name="Percent 6 2 2" xfId="3307"/>
    <cellStyle name="Percent 6 3" xfId="3308"/>
    <cellStyle name="Percent 6 3 2" xfId="3309"/>
    <cellStyle name="Percent 6 4" xfId="3310"/>
    <cellStyle name="Percent 6 4 2" xfId="3311"/>
    <cellStyle name="Percent 6 5" xfId="3312"/>
    <cellStyle name="Percent 6 5 2" xfId="3313"/>
    <cellStyle name="Percent 6 6" xfId="3314"/>
    <cellStyle name="Percent 6 6 2" xfId="3315"/>
    <cellStyle name="Percent 6 7" xfId="3316"/>
    <cellStyle name="Percent 6 7 2" xfId="3317"/>
    <cellStyle name="Percent 6 8" xfId="3318"/>
    <cellStyle name="Percent 6 8 2" xfId="3319"/>
    <cellStyle name="Percent 6 9" xfId="3320"/>
    <cellStyle name="Percent 7" xfId="3321"/>
    <cellStyle name="Percent 7 2" xfId="3322"/>
    <cellStyle name="Percent 7 2 2" xfId="3323"/>
    <cellStyle name="Percent 7 3" xfId="3324"/>
    <cellStyle name="Percent 7 3 2" xfId="3325"/>
    <cellStyle name="Percent 7 4" xfId="3326"/>
    <cellStyle name="Percent 7 4 2" xfId="3327"/>
    <cellStyle name="Percent 7 5" xfId="3328"/>
    <cellStyle name="Percent 7 5 2" xfId="3329"/>
    <cellStyle name="Percent 7 6" xfId="3330"/>
    <cellStyle name="Percent 7 6 2" xfId="3331"/>
    <cellStyle name="Percent 7 7" xfId="3332"/>
    <cellStyle name="Percent 7 7 2" xfId="3333"/>
    <cellStyle name="Percent 7 8" xfId="3334"/>
    <cellStyle name="Percent 7 8 2" xfId="3335"/>
    <cellStyle name="Percent 7 9" xfId="3336"/>
    <cellStyle name="Percent 8" xfId="3337"/>
    <cellStyle name="Percent 8 2" xfId="3338"/>
    <cellStyle name="Percent 8 2 2" xfId="3339"/>
    <cellStyle name="Percent 8 3" xfId="3340"/>
    <cellStyle name="Percent 8 3 2" xfId="3341"/>
    <cellStyle name="Percent 8 4" xfId="3342"/>
    <cellStyle name="Percent 8 4 2" xfId="3343"/>
    <cellStyle name="Percent 8 5" xfId="3344"/>
    <cellStyle name="Percent 8 5 2" xfId="3345"/>
    <cellStyle name="Percent 8 6" xfId="3346"/>
    <cellStyle name="Percent 8 6 2" xfId="3347"/>
    <cellStyle name="Percent 8 7" xfId="3348"/>
    <cellStyle name="Percent 8 7 2" xfId="3349"/>
    <cellStyle name="Percent 8 8" xfId="3350"/>
    <cellStyle name="Percent 8 8 2" xfId="3351"/>
    <cellStyle name="Percent 8 9" xfId="3352"/>
    <cellStyle name="Percent 9" xfId="3353"/>
    <cellStyle name="Percent 9 2" xfId="3354"/>
    <cellStyle name="Percent 9 2 2" xfId="3355"/>
    <cellStyle name="Percent 9 3" xfId="3356"/>
    <cellStyle name="Percent 9 3 2" xfId="3357"/>
    <cellStyle name="Percent 9 4" xfId="3358"/>
    <cellStyle name="Percent 9 4 2" xfId="3359"/>
    <cellStyle name="Percent 9 5" xfId="3360"/>
    <cellStyle name="Percent 9 5 2" xfId="3361"/>
    <cellStyle name="Percent 9 6" xfId="3362"/>
    <cellStyle name="Percent 9 6 2" xfId="3363"/>
    <cellStyle name="Percent 9 7" xfId="3364"/>
    <cellStyle name="Percent 9 7 2" xfId="3365"/>
    <cellStyle name="Percent 9 8" xfId="3366"/>
    <cellStyle name="Percent 9 8 2" xfId="3367"/>
    <cellStyle name="Percent 9 9" xfId="3368"/>
    <cellStyle name="Pilkku_Layo9704" xfId="3369"/>
    <cellStyle name="Pyör. luku_Layo9704" xfId="3370"/>
    <cellStyle name="Pyör. valuutta_Layo9704" xfId="3371"/>
    <cellStyle name="source" xfId="3372"/>
    <cellStyle name="Standard_Sce_D_Extraction" xfId="3373"/>
    <cellStyle name="Style 21" xfId="3374"/>
    <cellStyle name="Style 21 2" xfId="3375"/>
    <cellStyle name="Style 22" xfId="3376"/>
    <cellStyle name="Style 23" xfId="3377"/>
    <cellStyle name="Style 24" xfId="3378"/>
    <cellStyle name="Style 25" xfId="3379"/>
    <cellStyle name="Style 25 2" xfId="3380"/>
    <cellStyle name="Style 26" xfId="3381"/>
    <cellStyle name="Style 29" xfId="3382"/>
    <cellStyle name="Style 29 2" xfId="3383"/>
    <cellStyle name="Style 29 2 2" xfId="3384"/>
    <cellStyle name="Style 29 3" xfId="3385"/>
    <cellStyle name="Style 35" xfId="3386"/>
    <cellStyle name="Style 35 2" xfId="3387"/>
    <cellStyle name="Style 36" xfId="3388"/>
    <cellStyle name="Style 36 2" xfId="3389"/>
    <cellStyle name="tableau | cellule | normal | decimal 1" xfId="3390"/>
    <cellStyle name="tableau | cellule | normal | pourcentage | decimal 1" xfId="3391"/>
    <cellStyle name="tableau | cellule | total | decimal 1" xfId="3392"/>
    <cellStyle name="tableau | coin superieur gauche" xfId="3393"/>
    <cellStyle name="tableau | coin superieur gauche 2" xfId="3394"/>
    <cellStyle name="tableau | entete-colonne | series" xfId="3395"/>
    <cellStyle name="tableau | entete-colonne | series 2" xfId="3396"/>
    <cellStyle name="tableau | entete-ligne | normal" xfId="3397"/>
    <cellStyle name="tableau | entete-ligne | normal 2" xfId="3398"/>
    <cellStyle name="tableau | entete-ligne | total" xfId="3399"/>
    <cellStyle name="tableau | ligne-titre | niveau1" xfId="3400"/>
    <cellStyle name="tableau | ligne-titre | niveau1 2" xfId="3401"/>
    <cellStyle name="tableau | ligne-titre | niveau2" xfId="3402"/>
    <cellStyle name="tableau | ligne-titre | niveau2 2" xfId="3403"/>
    <cellStyle name="Title 2" xfId="3404"/>
    <cellStyle name="Title 2 10" xfId="3405"/>
    <cellStyle name="Title 2 2" xfId="3406"/>
    <cellStyle name="Title 2 3" xfId="3407"/>
    <cellStyle name="Title 2 4" xfId="3408"/>
    <cellStyle name="Title 2 5" xfId="3409"/>
    <cellStyle name="Title 2 6" xfId="3410"/>
    <cellStyle name="Title 2 7" xfId="3411"/>
    <cellStyle name="Title 2 8" xfId="3412"/>
    <cellStyle name="Title 2 9" xfId="3413"/>
    <cellStyle name="Title 3" xfId="3414"/>
    <cellStyle name="Title 3 2" xfId="3415"/>
    <cellStyle name="Total 2" xfId="3416"/>
    <cellStyle name="Total 2 10" xfId="3417"/>
    <cellStyle name="Total 2 2" xfId="3418"/>
    <cellStyle name="Total 2 3" xfId="3419"/>
    <cellStyle name="Total 2 4" xfId="3420"/>
    <cellStyle name="Total 2 5" xfId="3421"/>
    <cellStyle name="Total 2 6" xfId="3422"/>
    <cellStyle name="Total 2 7" xfId="3423"/>
    <cellStyle name="Total 2 8" xfId="3424"/>
    <cellStyle name="Total 2 9" xfId="3425"/>
    <cellStyle name="Total 3" xfId="3426"/>
    <cellStyle name="Total 3 2" xfId="3427"/>
    <cellStyle name="Valuutta_Layo9704" xfId="3428"/>
    <cellStyle name="Warning Text 2" xfId="3429"/>
    <cellStyle name="Warning Text 2 10" xfId="3430"/>
    <cellStyle name="Warning Text 2 2" xfId="3431"/>
    <cellStyle name="Warning Text 2 3" xfId="3432"/>
    <cellStyle name="Warning Text 2 4" xfId="3433"/>
    <cellStyle name="Warning Text 2 5" xfId="3434"/>
    <cellStyle name="Warning Text 2 6" xfId="3435"/>
    <cellStyle name="Warning Text 2 7" xfId="3436"/>
    <cellStyle name="Warning Text 2 8" xfId="3437"/>
    <cellStyle name="Warning Text 2 9" xfId="3438"/>
    <cellStyle name="Warning Text 3" xfId="3439"/>
    <cellStyle name="Обычный_CRF2002 (1)" xfId="3440"/>
    <cellStyle name="已访问的超链接" xfId="344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thundersaidenergy.com/downloads/bulk-shipping-cost-breakdown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O16"/>
  <sheetViews>
    <sheetView zoomScale="74" zoomScaleNormal="74" workbookViewId="0">
      <selection activeCell="S25" sqref="S25"/>
    </sheetView>
  </sheetViews>
  <sheetFormatPr defaultColWidth="9" defaultRowHeight="14.5"/>
  <cols>
    <col min="2" max="2" width="18.7272727272727" customWidth="1"/>
  </cols>
  <sheetData>
    <row r="1" spans="1:13">
      <c r="A1" s="19" t="s">
        <v>0</v>
      </c>
      <c r="M1" t="s">
        <v>1</v>
      </c>
    </row>
    <row r="3" spans="4:4">
      <c r="D3" t="s">
        <v>2</v>
      </c>
    </row>
    <row r="4" spans="1:41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I4" t="s">
        <v>37</v>
      </c>
      <c r="AJ4" t="s">
        <v>38</v>
      </c>
      <c r="AK4" t="s">
        <v>39</v>
      </c>
      <c r="AL4" t="s">
        <v>40</v>
      </c>
      <c r="AM4" t="s">
        <v>41</v>
      </c>
      <c r="AN4" t="s">
        <v>42</v>
      </c>
      <c r="AO4" t="s">
        <v>43</v>
      </c>
    </row>
    <row r="5" spans="1:40">
      <c r="A5" t="s">
        <v>44</v>
      </c>
      <c r="B5" t="str">
        <f>"uce_cap25_"&amp;A5</f>
        <v>uce_cap25_Coal</v>
      </c>
      <c r="C5" t="str">
        <f>"E_"&amp;A5</f>
        <v>E_Coal</v>
      </c>
      <c r="D5">
        <v>1</v>
      </c>
      <c r="E5" s="7">
        <v>4.412</v>
      </c>
      <c r="F5" s="7">
        <v>3.12026375782552</v>
      </c>
      <c r="G5" s="7">
        <v>19.819</v>
      </c>
      <c r="H5" s="7" t="s">
        <v>45</v>
      </c>
      <c r="I5" s="7" t="s">
        <v>45</v>
      </c>
      <c r="J5" s="7">
        <v>5.392</v>
      </c>
      <c r="K5" s="7">
        <v>3.04</v>
      </c>
      <c r="L5" s="7">
        <v>1049.77744541795</v>
      </c>
      <c r="M5" s="7">
        <v>0.341</v>
      </c>
      <c r="N5" s="7">
        <v>1.829</v>
      </c>
      <c r="O5" s="7">
        <v>1.784</v>
      </c>
      <c r="P5" s="7">
        <v>20.964</v>
      </c>
      <c r="Q5" s="7" t="s">
        <v>45</v>
      </c>
      <c r="R5" s="7">
        <v>0.631</v>
      </c>
      <c r="S5" s="7" t="s">
        <v>45</v>
      </c>
      <c r="T5" s="7">
        <v>226.585</v>
      </c>
      <c r="U5" s="7">
        <v>1.043</v>
      </c>
      <c r="V5" s="7">
        <v>7.734</v>
      </c>
      <c r="W5" s="7">
        <v>55.883</v>
      </c>
      <c r="X5" s="7">
        <v>8.113</v>
      </c>
      <c r="Y5" s="7">
        <v>5.815</v>
      </c>
      <c r="Z5" s="7">
        <v>208.923</v>
      </c>
      <c r="AA5" s="7">
        <v>0.008</v>
      </c>
      <c r="AB5" s="7">
        <v>21.844</v>
      </c>
      <c r="AC5" s="7">
        <v>1173.40732616814</v>
      </c>
      <c r="AD5" s="7">
        <v>33.27</v>
      </c>
      <c r="AE5" s="7" t="s">
        <v>45</v>
      </c>
      <c r="AF5" s="7">
        <v>45.335</v>
      </c>
      <c r="AG5" s="7">
        <v>1.425</v>
      </c>
      <c r="AH5" s="7">
        <v>6.068</v>
      </c>
      <c r="AI5" s="7" t="s">
        <v>45</v>
      </c>
      <c r="AJ5" s="7">
        <v>8.664</v>
      </c>
      <c r="AK5" s="7">
        <v>5.108</v>
      </c>
      <c r="AL5" s="7">
        <v>25.702</v>
      </c>
      <c r="AM5" s="7">
        <v>0.224</v>
      </c>
      <c r="AN5" s="7">
        <v>-1</v>
      </c>
    </row>
    <row r="6" spans="1:40">
      <c r="A6" t="s">
        <v>46</v>
      </c>
      <c r="B6" t="str">
        <f t="shared" ref="B6:B10" si="0">"uce_cap25_"&amp;A6</f>
        <v>uce_cap25_Gas</v>
      </c>
      <c r="C6" t="str">
        <f t="shared" ref="C6:C10" si="1">"E_"&amp;A6</f>
        <v>E_Gas</v>
      </c>
      <c r="D6">
        <v>1</v>
      </c>
      <c r="E6" s="7">
        <v>96.795</v>
      </c>
      <c r="F6" s="7">
        <v>25.6351710820699</v>
      </c>
      <c r="G6" s="7">
        <v>16.3663125505745</v>
      </c>
      <c r="H6" s="7">
        <v>4.529</v>
      </c>
      <c r="I6" s="7">
        <v>2.229</v>
      </c>
      <c r="J6" s="7">
        <v>19.908</v>
      </c>
      <c r="K6" s="7">
        <v>12.976</v>
      </c>
      <c r="L6" s="7">
        <v>124.106769526882</v>
      </c>
      <c r="M6" s="7">
        <v>1.35494652675863</v>
      </c>
      <c r="N6" s="7">
        <v>2.955</v>
      </c>
      <c r="O6" s="7">
        <v>8.263</v>
      </c>
      <c r="P6" s="7">
        <v>23.885</v>
      </c>
      <c r="Q6" s="7">
        <v>7.819</v>
      </c>
      <c r="R6" s="7">
        <v>6.279</v>
      </c>
      <c r="S6" s="7" t="s">
        <v>45</v>
      </c>
      <c r="T6" s="7">
        <v>24.629</v>
      </c>
      <c r="U6" s="7">
        <v>4.302</v>
      </c>
      <c r="V6" s="7">
        <v>50.522</v>
      </c>
      <c r="W6" s="7">
        <v>83.7</v>
      </c>
      <c r="X6" s="7">
        <v>56.636</v>
      </c>
      <c r="Y6" s="7">
        <v>215.315</v>
      </c>
      <c r="Z6" s="7">
        <v>555.117</v>
      </c>
      <c r="AA6" s="7">
        <v>0.318</v>
      </c>
      <c r="AB6" s="7">
        <v>3.817</v>
      </c>
      <c r="AC6" s="7">
        <v>377.33885156572</v>
      </c>
      <c r="AD6" s="7">
        <v>126.817</v>
      </c>
      <c r="AE6" s="7">
        <v>54.058</v>
      </c>
      <c r="AF6" s="7">
        <v>0.033</v>
      </c>
      <c r="AG6" s="7">
        <v>31.272</v>
      </c>
      <c r="AH6" s="7">
        <v>5.718</v>
      </c>
      <c r="AI6" s="7">
        <v>0.491</v>
      </c>
      <c r="AJ6" s="7">
        <v>25.944</v>
      </c>
      <c r="AK6" s="7">
        <v>33.529</v>
      </c>
      <c r="AL6" s="7">
        <v>3.113</v>
      </c>
      <c r="AM6" s="7">
        <v>0.951</v>
      </c>
      <c r="AN6" s="7">
        <v>-1</v>
      </c>
    </row>
    <row r="7" spans="1:40">
      <c r="A7" t="s">
        <v>47</v>
      </c>
      <c r="B7" t="str">
        <f t="shared" si="0"/>
        <v>uce_cap25_Hydro</v>
      </c>
      <c r="C7" t="str">
        <f t="shared" si="1"/>
        <v>E_Hydro</v>
      </c>
      <c r="D7">
        <v>1</v>
      </c>
      <c r="E7" s="7">
        <v>4.432</v>
      </c>
      <c r="F7" s="7">
        <v>36.8858527599317</v>
      </c>
      <c r="G7" s="7">
        <v>8.44</v>
      </c>
      <c r="H7" s="7">
        <v>14.933</v>
      </c>
      <c r="I7" s="7">
        <v>1.717</v>
      </c>
      <c r="J7" s="7">
        <v>0.198</v>
      </c>
      <c r="K7" s="7">
        <v>109.95</v>
      </c>
      <c r="L7" s="7">
        <v>381.480858686818</v>
      </c>
      <c r="M7" s="7">
        <v>3.63800080835852</v>
      </c>
      <c r="N7" s="7">
        <v>2.731</v>
      </c>
      <c r="O7" s="7">
        <v>24.478</v>
      </c>
      <c r="P7" s="7">
        <v>5.741</v>
      </c>
      <c r="Q7" s="7">
        <v>3.456</v>
      </c>
      <c r="R7" s="7">
        <v>9.206</v>
      </c>
      <c r="S7" s="7">
        <v>2.114</v>
      </c>
      <c r="T7" s="7">
        <v>54.1028396193525</v>
      </c>
      <c r="U7" s="7">
        <v>0.237</v>
      </c>
      <c r="V7" s="7">
        <v>18.942</v>
      </c>
      <c r="W7" s="7">
        <v>28.247</v>
      </c>
      <c r="X7" s="7">
        <v>81.8173772429141</v>
      </c>
      <c r="Y7" s="7">
        <v>15.1858324984039</v>
      </c>
      <c r="Z7" s="7">
        <v>184.391</v>
      </c>
      <c r="AA7" s="7">
        <v>34.41</v>
      </c>
      <c r="AB7" s="7">
        <v>0.986</v>
      </c>
      <c r="AC7" s="7">
        <v>506.242366978746</v>
      </c>
      <c r="AD7" s="7">
        <v>51.535</v>
      </c>
      <c r="AE7" s="7" t="s">
        <v>45</v>
      </c>
      <c r="AF7" s="7">
        <v>0.752</v>
      </c>
      <c r="AG7" s="7">
        <v>25.039</v>
      </c>
      <c r="AH7" s="7">
        <v>19.647</v>
      </c>
      <c r="AI7" s="7">
        <v>15.279</v>
      </c>
      <c r="AJ7" s="7">
        <v>31.935</v>
      </c>
      <c r="AK7" s="7">
        <v>2.252</v>
      </c>
      <c r="AL7" s="7">
        <v>4.887</v>
      </c>
      <c r="AM7" s="7">
        <v>8.80061311366949</v>
      </c>
      <c r="AN7" s="7">
        <v>-1</v>
      </c>
    </row>
    <row r="8" spans="1:40">
      <c r="A8" t="s">
        <v>48</v>
      </c>
      <c r="B8" t="str">
        <f t="shared" si="0"/>
        <v>uce_cap25_Nuclear</v>
      </c>
      <c r="C8" t="str">
        <f t="shared" si="1"/>
        <v>E_Nuclear</v>
      </c>
      <c r="D8">
        <v>1</v>
      </c>
      <c r="E8" s="7" t="s">
        <v>45</v>
      </c>
      <c r="F8" s="7" t="s">
        <v>45</v>
      </c>
      <c r="G8" s="7" t="s">
        <v>45</v>
      </c>
      <c r="H8" s="7" t="s">
        <v>45</v>
      </c>
      <c r="I8" s="7" t="s">
        <v>45</v>
      </c>
      <c r="J8" s="7">
        <v>5.563</v>
      </c>
      <c r="K8" s="7">
        <v>2.062</v>
      </c>
      <c r="L8" s="7">
        <v>70.6297930648943</v>
      </c>
      <c r="M8" s="7">
        <v>0.727</v>
      </c>
      <c r="N8" s="7">
        <v>6.954</v>
      </c>
      <c r="O8" s="7">
        <v>65.792</v>
      </c>
      <c r="P8" s="7">
        <v>4.291</v>
      </c>
      <c r="Q8" s="7" t="s">
        <v>45</v>
      </c>
      <c r="R8" s="7">
        <v>5.45</v>
      </c>
      <c r="S8" s="7" t="s">
        <v>45</v>
      </c>
      <c r="T8" s="7">
        <v>14.4554035848022</v>
      </c>
      <c r="U8" s="7" t="s">
        <v>45</v>
      </c>
      <c r="V8" s="7" t="s">
        <v>45</v>
      </c>
      <c r="W8" s="7">
        <v>34.1194818175494</v>
      </c>
      <c r="X8" s="7">
        <v>1.798</v>
      </c>
      <c r="Y8" s="7">
        <v>7.62</v>
      </c>
      <c r="Z8" s="7">
        <v>115.929</v>
      </c>
      <c r="AA8" s="7" t="s">
        <v>45</v>
      </c>
      <c r="AB8" s="7" t="s">
        <v>45</v>
      </c>
      <c r="AC8" s="7">
        <v>112.973094438467</v>
      </c>
      <c r="AD8" s="7">
        <v>34.297233878302</v>
      </c>
      <c r="AE8" s="7" t="s">
        <v>45</v>
      </c>
      <c r="AF8" s="7">
        <v>1.94</v>
      </c>
      <c r="AG8" s="7">
        <v>7.398</v>
      </c>
      <c r="AH8" s="7">
        <v>11.706</v>
      </c>
      <c r="AI8" s="7">
        <v>3.025</v>
      </c>
      <c r="AJ8" s="7">
        <v>3.54591433260089</v>
      </c>
      <c r="AK8" s="7">
        <v>7.23456144459034</v>
      </c>
      <c r="AL8" s="7">
        <v>13.88</v>
      </c>
      <c r="AM8" s="7" t="s">
        <v>45</v>
      </c>
      <c r="AN8" s="7">
        <v>-1</v>
      </c>
    </row>
    <row r="9" spans="1:41">
      <c r="A9" t="s">
        <v>49</v>
      </c>
      <c r="B9" t="str">
        <f t="shared" si="0"/>
        <v>uce_cap25_Solar</v>
      </c>
      <c r="C9" t="str">
        <f t="shared" si="1"/>
        <v>E_Solar</v>
      </c>
      <c r="D9">
        <v>1</v>
      </c>
      <c r="E9" s="7">
        <v>3.759</v>
      </c>
      <c r="F9" s="7">
        <v>3.346</v>
      </c>
      <c r="G9" s="7">
        <v>34.218</v>
      </c>
      <c r="H9" s="7">
        <v>6.832</v>
      </c>
      <c r="I9" s="7">
        <v>2.208</v>
      </c>
      <c r="J9" s="7">
        <v>32.886</v>
      </c>
      <c r="K9" s="7">
        <v>40.781</v>
      </c>
      <c r="L9" s="7">
        <v>618.105570429358</v>
      </c>
      <c r="M9" s="7">
        <v>1.496</v>
      </c>
      <c r="N9" s="7">
        <v>3.185</v>
      </c>
      <c r="O9" s="7">
        <v>20.552</v>
      </c>
      <c r="P9" s="7">
        <v>83.039</v>
      </c>
      <c r="Q9" s="7">
        <v>7.637</v>
      </c>
      <c r="R9" s="7">
        <v>10.704</v>
      </c>
      <c r="S9" s="7">
        <v>0.007</v>
      </c>
      <c r="T9" s="7">
        <v>76.309</v>
      </c>
      <c r="U9" s="7">
        <v>0.738</v>
      </c>
      <c r="V9" s="7">
        <v>30.029</v>
      </c>
      <c r="W9" s="7">
        <v>87.173</v>
      </c>
      <c r="X9" s="7">
        <v>15.894</v>
      </c>
      <c r="Y9" s="7">
        <v>17.263</v>
      </c>
      <c r="Z9" s="7">
        <v>158.453</v>
      </c>
      <c r="AA9" s="7">
        <v>0.617</v>
      </c>
      <c r="AB9" s="7">
        <v>15.81</v>
      </c>
      <c r="AC9" s="7">
        <v>690.025</v>
      </c>
      <c r="AD9" s="7">
        <v>2.442</v>
      </c>
      <c r="AE9" s="7">
        <v>2.286</v>
      </c>
      <c r="AF9" s="7">
        <v>6.473</v>
      </c>
      <c r="AG9" s="7">
        <v>35.164</v>
      </c>
      <c r="AH9" s="7">
        <v>7.917</v>
      </c>
      <c r="AI9" s="7">
        <v>5.84</v>
      </c>
      <c r="AJ9" s="7">
        <v>11.292</v>
      </c>
      <c r="AK9" s="7">
        <v>15.657</v>
      </c>
      <c r="AL9" s="7">
        <v>8.15</v>
      </c>
      <c r="AM9" s="7">
        <v>1.025</v>
      </c>
      <c r="AN9" s="7">
        <v>-1</v>
      </c>
      <c r="AO9" t="s">
        <v>50</v>
      </c>
    </row>
    <row r="10" spans="1:41">
      <c r="A10" t="s">
        <v>51</v>
      </c>
      <c r="B10" t="str">
        <f t="shared" si="0"/>
        <v>uce_cap25_Wind</v>
      </c>
      <c r="C10" t="str">
        <f t="shared" si="1"/>
        <v>E_Wind</v>
      </c>
      <c r="D10">
        <v>1</v>
      </c>
      <c r="E10" s="7">
        <v>10.1220661744693</v>
      </c>
      <c r="F10" s="7">
        <v>1.273</v>
      </c>
      <c r="G10" s="7">
        <v>13.161</v>
      </c>
      <c r="H10" s="7">
        <v>3.977</v>
      </c>
      <c r="I10" s="7">
        <v>1.914</v>
      </c>
      <c r="J10" s="7">
        <v>16.492</v>
      </c>
      <c r="K10" s="7">
        <v>29.818</v>
      </c>
      <c r="L10" s="7">
        <v>481.98396376118</v>
      </c>
      <c r="M10" s="7">
        <v>1.146</v>
      </c>
      <c r="N10" s="7">
        <v>0.347</v>
      </c>
      <c r="O10" s="7">
        <v>23.176</v>
      </c>
      <c r="P10" s="7">
        <v>70.263059689023</v>
      </c>
      <c r="Q10" s="7">
        <v>5.379</v>
      </c>
      <c r="R10" s="7">
        <v>4.141</v>
      </c>
      <c r="S10" s="7">
        <v>0.17695741101743</v>
      </c>
      <c r="T10" s="7">
        <v>52.9658823207897</v>
      </c>
      <c r="U10" s="7">
        <v>4.862</v>
      </c>
      <c r="V10" s="7">
        <v>12.391</v>
      </c>
      <c r="W10" s="7">
        <v>5.483</v>
      </c>
      <c r="X10" s="7">
        <v>19.4340173249179</v>
      </c>
      <c r="Y10" s="7">
        <v>1.487</v>
      </c>
      <c r="Z10" s="7">
        <v>174.881458488924</v>
      </c>
      <c r="AA10" s="7">
        <v>5.065</v>
      </c>
      <c r="AB10" s="7">
        <v>9.307</v>
      </c>
      <c r="AC10" s="7">
        <v>466.351347074073</v>
      </c>
      <c r="AD10" s="7">
        <v>2.64</v>
      </c>
      <c r="AE10" s="7">
        <v>0.403</v>
      </c>
      <c r="AF10" s="7">
        <v>3.463</v>
      </c>
      <c r="AG10" s="7">
        <v>36.745</v>
      </c>
      <c r="AH10" s="7">
        <v>31.957</v>
      </c>
      <c r="AI10" s="7">
        <v>0.087</v>
      </c>
      <c r="AJ10" s="7">
        <v>11.749</v>
      </c>
      <c r="AK10" s="7">
        <v>34.5394277256465</v>
      </c>
      <c r="AL10" s="7">
        <v>1.902</v>
      </c>
      <c r="AM10" s="7">
        <v>1.095</v>
      </c>
      <c r="AN10" s="7">
        <v>-1</v>
      </c>
      <c r="AO10" t="s">
        <v>50</v>
      </c>
    </row>
    <row r="11" spans="5:40"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5:40"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5:40"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5:40"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</row>
    <row r="15" spans="5:40"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</row>
    <row r="16" spans="5:40"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E43"/>
  <sheetViews>
    <sheetView zoomScale="55" zoomScaleNormal="55" workbookViewId="0">
      <selection activeCell="AM38" sqref="AM38"/>
    </sheetView>
  </sheetViews>
  <sheetFormatPr defaultColWidth="9" defaultRowHeight="14.5"/>
  <cols>
    <col min="2" max="2" width="10.1363636363636" customWidth="1"/>
    <col min="3" max="3" width="8.86363636363636" customWidth="1"/>
    <col min="4" max="4" width="10" customWidth="1"/>
    <col min="5" max="5" width="9.4" customWidth="1"/>
    <col min="6" max="6" width="6.6" customWidth="1"/>
    <col min="7" max="7" width="9.72727272727273" customWidth="1"/>
    <col min="8" max="8" width="10.7272727272727" customWidth="1"/>
    <col min="9" max="9" width="8.72727272727273" customWidth="1"/>
    <col min="10" max="10" width="10.2636363636364" customWidth="1"/>
    <col min="11" max="11" width="8.4" customWidth="1"/>
    <col min="12" max="12" width="7.6" customWidth="1"/>
    <col min="13" max="13" width="8.6" customWidth="1"/>
    <col min="14" max="14" width="8.72727272727273" customWidth="1"/>
    <col min="15" max="16" width="8.4" customWidth="1"/>
    <col min="17" max="17" width="4.6" customWidth="1"/>
    <col min="18" max="19" width="5.13636363636364" customWidth="1"/>
    <col min="20" max="20" width="11" customWidth="1"/>
    <col min="21" max="21" width="9.72727272727273" customWidth="1"/>
    <col min="22" max="22" width="15.8636363636364" customWidth="1"/>
    <col min="24" max="24" width="16.4" customWidth="1"/>
    <col min="25" max="25" width="18.7272727272727" customWidth="1"/>
    <col min="26" max="26" width="15.8636363636364" customWidth="1"/>
    <col min="27" max="27" width="11.2636363636364" customWidth="1"/>
    <col min="28" max="69" width="5.4" customWidth="1"/>
    <col min="71" max="71" width="4.4" customWidth="1"/>
    <col min="72" max="72" width="8.86363636363636" customWidth="1"/>
  </cols>
  <sheetData>
    <row r="1" spans="1:1">
      <c r="A1" t="s">
        <v>52</v>
      </c>
    </row>
    <row r="2" spans="2:16">
      <c r="B2" s="40" t="s">
        <v>53</v>
      </c>
      <c r="I2" s="44"/>
      <c r="J2" s="45"/>
      <c r="K2" s="45"/>
      <c r="L2" s="45"/>
      <c r="M2" s="45"/>
      <c r="N2" s="45"/>
      <c r="O2" s="45"/>
      <c r="P2" s="45"/>
    </row>
    <row r="3" ht="15.25" spans="2:21">
      <c r="B3" s="41" t="s">
        <v>54</v>
      </c>
      <c r="C3" s="41" t="s">
        <v>55</v>
      </c>
      <c r="D3" s="41" t="s">
        <v>56</v>
      </c>
      <c r="E3" s="41" t="s">
        <v>57</v>
      </c>
      <c r="F3" s="41" t="s">
        <v>58</v>
      </c>
      <c r="G3" s="41" t="s">
        <v>59</v>
      </c>
      <c r="H3" s="42" t="s">
        <v>60</v>
      </c>
      <c r="I3" s="46" t="s">
        <v>61</v>
      </c>
      <c r="J3" s="46" t="s">
        <v>62</v>
      </c>
      <c r="K3" s="46" t="s">
        <v>63</v>
      </c>
      <c r="L3" s="46" t="s">
        <v>64</v>
      </c>
      <c r="M3" s="46" t="s">
        <v>65</v>
      </c>
      <c r="N3" s="46" t="s">
        <v>66</v>
      </c>
      <c r="O3" s="46" t="s">
        <v>67</v>
      </c>
      <c r="P3" s="46" t="s">
        <v>68</v>
      </c>
      <c r="U3" t="s">
        <v>53</v>
      </c>
    </row>
    <row r="4" spans="4:25">
      <c r="D4" t="s">
        <v>69</v>
      </c>
      <c r="F4" t="s">
        <v>70</v>
      </c>
      <c r="H4">
        <v>2.7</v>
      </c>
      <c r="J4" t="s">
        <v>71</v>
      </c>
      <c r="O4" t="s">
        <v>72</v>
      </c>
      <c r="U4" t="s">
        <v>73</v>
      </c>
      <c r="V4" t="s">
        <v>74</v>
      </c>
      <c r="W4" t="s">
        <v>75</v>
      </c>
      <c r="X4" t="s">
        <v>76</v>
      </c>
      <c r="Y4" t="s">
        <v>77</v>
      </c>
    </row>
    <row r="5" spans="4:23">
      <c r="D5" t="s">
        <v>69</v>
      </c>
      <c r="F5" t="s">
        <v>70</v>
      </c>
      <c r="H5">
        <v>1.83</v>
      </c>
      <c r="J5" t="s">
        <v>71</v>
      </c>
      <c r="O5" t="s">
        <v>78</v>
      </c>
      <c r="U5" t="s">
        <v>79</v>
      </c>
      <c r="V5" t="s">
        <v>80</v>
      </c>
      <c r="W5">
        <v>2025</v>
      </c>
    </row>
    <row r="6" spans="4:28">
      <c r="D6" t="s">
        <v>69</v>
      </c>
      <c r="F6" t="s">
        <v>70</v>
      </c>
      <c r="H6">
        <v>-2.35</v>
      </c>
      <c r="J6" t="s">
        <v>71</v>
      </c>
      <c r="O6" t="s">
        <v>81</v>
      </c>
      <c r="U6" t="s">
        <v>82</v>
      </c>
      <c r="W6">
        <v>2150</v>
      </c>
      <c r="X6" t="s">
        <v>83</v>
      </c>
      <c r="Y6" t="s">
        <v>84</v>
      </c>
      <c r="AB6" t="s">
        <v>85</v>
      </c>
    </row>
    <row r="7" spans="4:15">
      <c r="D7" t="s">
        <v>69</v>
      </c>
      <c r="F7" t="s">
        <v>70</v>
      </c>
      <c r="H7">
        <v>2.66</v>
      </c>
      <c r="J7" t="s">
        <v>71</v>
      </c>
      <c r="O7" t="s">
        <v>86</v>
      </c>
    </row>
    <row r="8" spans="4:15">
      <c r="D8" t="s">
        <v>69</v>
      </c>
      <c r="F8" t="s">
        <v>70</v>
      </c>
      <c r="H8">
        <v>-1.35</v>
      </c>
      <c r="J8" t="s">
        <v>71</v>
      </c>
      <c r="O8" t="s">
        <v>87</v>
      </c>
    </row>
    <row r="9" spans="4:20">
      <c r="D9" t="s">
        <v>69</v>
      </c>
      <c r="F9" t="s">
        <v>70</v>
      </c>
      <c r="H9">
        <f>H6</f>
        <v>-2.35</v>
      </c>
      <c r="J9" t="s">
        <v>71</v>
      </c>
      <c r="O9" t="s">
        <v>88</v>
      </c>
      <c r="T9" t="s">
        <v>89</v>
      </c>
    </row>
    <row r="10" spans="4:30">
      <c r="D10" t="s">
        <v>82</v>
      </c>
      <c r="H10">
        <v>2150</v>
      </c>
      <c r="J10" t="s">
        <v>90</v>
      </c>
      <c r="T10" t="s">
        <v>58</v>
      </c>
      <c r="U10" t="s">
        <v>56</v>
      </c>
      <c r="V10">
        <v>2020</v>
      </c>
      <c r="W10">
        <v>2040</v>
      </c>
      <c r="X10" t="s">
        <v>64</v>
      </c>
      <c r="Y10" t="s">
        <v>65</v>
      </c>
      <c r="Z10" t="s">
        <v>91</v>
      </c>
      <c r="AA10" t="s">
        <v>67</v>
      </c>
      <c r="AB10" t="s">
        <v>92</v>
      </c>
      <c r="AC10" t="s">
        <v>93</v>
      </c>
      <c r="AD10" t="s">
        <v>94</v>
      </c>
    </row>
    <row r="11" spans="4:29">
      <c r="D11" t="s">
        <v>82</v>
      </c>
      <c r="H11">
        <v>2150</v>
      </c>
      <c r="J11" t="s">
        <v>95</v>
      </c>
      <c r="T11" t="s">
        <v>70</v>
      </c>
      <c r="U11" t="s">
        <v>96</v>
      </c>
      <c r="V11">
        <v>19.44</v>
      </c>
      <c r="X11" t="s">
        <v>97</v>
      </c>
      <c r="Y11" t="s">
        <v>98</v>
      </c>
      <c r="AA11" t="str">
        <f>X11</f>
        <v>ELC</v>
      </c>
      <c r="AC11" t="s">
        <v>99</v>
      </c>
    </row>
    <row r="12" spans="20:29">
      <c r="T12" t="s">
        <v>70</v>
      </c>
      <c r="U12" t="s">
        <v>96</v>
      </c>
      <c r="V12">
        <v>15.28</v>
      </c>
      <c r="X12" t="s">
        <v>97</v>
      </c>
      <c r="Y12" t="s">
        <v>100</v>
      </c>
      <c r="AA12" t="str">
        <f>X12</f>
        <v>ELC</v>
      </c>
      <c r="AC12" t="s">
        <v>99</v>
      </c>
    </row>
    <row r="13" spans="2:29">
      <c r="B13" t="s">
        <v>53</v>
      </c>
      <c r="T13" t="s">
        <v>70</v>
      </c>
      <c r="U13" t="s">
        <v>96</v>
      </c>
      <c r="V13">
        <v>6.94</v>
      </c>
      <c r="X13" t="s">
        <v>97</v>
      </c>
      <c r="Y13" t="s">
        <v>101</v>
      </c>
      <c r="AA13" t="str">
        <f>X13</f>
        <v>ELC</v>
      </c>
      <c r="AC13" t="s">
        <v>99</v>
      </c>
    </row>
    <row r="14" spans="2:29">
      <c r="B14" t="s">
        <v>54</v>
      </c>
      <c r="C14" t="s">
        <v>55</v>
      </c>
      <c r="D14" t="s">
        <v>56</v>
      </c>
      <c r="E14" t="s">
        <v>57</v>
      </c>
      <c r="F14" t="s">
        <v>58</v>
      </c>
      <c r="G14" t="s">
        <v>59</v>
      </c>
      <c r="H14" t="s">
        <v>60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s">
        <v>66</v>
      </c>
      <c r="O14" t="s">
        <v>67</v>
      </c>
      <c r="T14" t="s">
        <v>70</v>
      </c>
      <c r="U14" t="s">
        <v>96</v>
      </c>
      <c r="V14">
        <v>3.5</v>
      </c>
      <c r="X14" t="s">
        <v>102</v>
      </c>
      <c r="Y14" t="s">
        <v>103</v>
      </c>
      <c r="AA14" t="s">
        <v>102</v>
      </c>
      <c r="AB14" t="s">
        <v>104</v>
      </c>
      <c r="AC14" t="s">
        <v>99</v>
      </c>
    </row>
    <row r="15" spans="4:29">
      <c r="D15" t="s">
        <v>82</v>
      </c>
      <c r="H15">
        <v>2120</v>
      </c>
      <c r="J15" t="s">
        <v>105</v>
      </c>
      <c r="T15" t="s">
        <v>70</v>
      </c>
      <c r="U15" t="s">
        <v>96</v>
      </c>
      <c r="V15">
        <v>0.8</v>
      </c>
      <c r="X15" t="s">
        <v>102</v>
      </c>
      <c r="Y15" t="s">
        <v>106</v>
      </c>
      <c r="AA15" t="s">
        <v>102</v>
      </c>
      <c r="AB15" t="s">
        <v>104</v>
      </c>
      <c r="AC15" t="s">
        <v>99</v>
      </c>
    </row>
    <row r="16" spans="4:29">
      <c r="D16" t="s">
        <v>107</v>
      </c>
      <c r="H16" s="6">
        <v>25</v>
      </c>
      <c r="J16" t="s">
        <v>108</v>
      </c>
      <c r="T16" t="s">
        <v>70</v>
      </c>
      <c r="U16" t="s">
        <v>96</v>
      </c>
      <c r="V16">
        <v>3.6</v>
      </c>
      <c r="X16" t="s">
        <v>102</v>
      </c>
      <c r="Y16" t="s">
        <v>109</v>
      </c>
      <c r="AA16" t="s">
        <v>102</v>
      </c>
      <c r="AC16" t="s">
        <v>99</v>
      </c>
    </row>
    <row r="17" spans="4:29">
      <c r="D17" t="s">
        <v>110</v>
      </c>
      <c r="H17">
        <v>65</v>
      </c>
      <c r="J17" t="s">
        <v>108</v>
      </c>
      <c r="T17" t="s">
        <v>70</v>
      </c>
      <c r="U17" t="s">
        <v>96</v>
      </c>
      <c r="V17">
        <v>4.7</v>
      </c>
      <c r="X17" t="s">
        <v>102</v>
      </c>
      <c r="Y17" t="s">
        <v>111</v>
      </c>
      <c r="AA17" t="s">
        <v>102</v>
      </c>
      <c r="AC17" t="s">
        <v>99</v>
      </c>
    </row>
    <row r="18" spans="4:29">
      <c r="D18" t="s">
        <v>96</v>
      </c>
      <c r="H18">
        <v>10</v>
      </c>
      <c r="I18" t="s">
        <v>112</v>
      </c>
      <c r="M18" t="s">
        <v>113</v>
      </c>
      <c r="O18" t="s">
        <v>114</v>
      </c>
      <c r="T18" t="s">
        <v>70</v>
      </c>
      <c r="U18" t="s">
        <v>96</v>
      </c>
      <c r="V18">
        <v>4</v>
      </c>
      <c r="X18" t="s">
        <v>102</v>
      </c>
      <c r="Y18" t="s">
        <v>115</v>
      </c>
      <c r="AA18" t="s">
        <v>102</v>
      </c>
      <c r="AB18" t="s">
        <v>104</v>
      </c>
      <c r="AC18" t="s">
        <v>99</v>
      </c>
    </row>
    <row r="19" spans="20:29">
      <c r="T19" t="s">
        <v>70</v>
      </c>
      <c r="U19" t="s">
        <v>96</v>
      </c>
      <c r="V19">
        <v>3.04</v>
      </c>
      <c r="X19" t="s">
        <v>116</v>
      </c>
      <c r="Y19" t="s">
        <v>117</v>
      </c>
      <c r="AA19" t="s">
        <v>116</v>
      </c>
      <c r="AC19" t="s">
        <v>99</v>
      </c>
    </row>
    <row r="20" spans="2:29">
      <c r="B20" t="s">
        <v>118</v>
      </c>
      <c r="T20" t="s">
        <v>70</v>
      </c>
      <c r="U20" t="s">
        <v>96</v>
      </c>
      <c r="V20">
        <v>1.52</v>
      </c>
      <c r="X20" t="s">
        <v>119</v>
      </c>
      <c r="Y20" t="s">
        <v>120</v>
      </c>
      <c r="AA20" t="s">
        <v>119</v>
      </c>
      <c r="AC20" t="s">
        <v>99</v>
      </c>
    </row>
    <row r="21" spans="2:30">
      <c r="B21" t="s">
        <v>55</v>
      </c>
      <c r="C21" t="s">
        <v>121</v>
      </c>
      <c r="D21" t="s">
        <v>56</v>
      </c>
      <c r="E21" t="s">
        <v>122</v>
      </c>
      <c r="F21" t="s">
        <v>123</v>
      </c>
      <c r="G21" t="s">
        <v>59</v>
      </c>
      <c r="H21" t="s">
        <v>60</v>
      </c>
      <c r="I21" t="s">
        <v>62</v>
      </c>
      <c r="J21" t="s">
        <v>124</v>
      </c>
      <c r="K21" t="s">
        <v>125</v>
      </c>
      <c r="L21" t="s">
        <v>126</v>
      </c>
      <c r="T21" t="s">
        <v>70</v>
      </c>
      <c r="U21" t="s">
        <v>96</v>
      </c>
      <c r="V21" s="47">
        <f>V11*1.2</f>
        <v>23.328</v>
      </c>
      <c r="X21" t="s">
        <v>127</v>
      </c>
      <c r="Y21" t="s">
        <v>128</v>
      </c>
      <c r="Z21" s="51" t="s">
        <v>129</v>
      </c>
      <c r="AA21" t="str">
        <f t="shared" ref="AA21:AA26" si="0">X21</f>
        <v>HH2</v>
      </c>
      <c r="AB21" s="51" t="s">
        <v>130</v>
      </c>
      <c r="AC21" t="s">
        <v>99</v>
      </c>
      <c r="AD21" t="s">
        <v>131</v>
      </c>
    </row>
    <row r="22" spans="3:29">
      <c r="C22" t="s">
        <v>50</v>
      </c>
      <c r="D22" t="s">
        <v>132</v>
      </c>
      <c r="E22">
        <v>2020</v>
      </c>
      <c r="H22" t="s">
        <v>133</v>
      </c>
      <c r="I22" t="s">
        <v>134</v>
      </c>
      <c r="T22" t="s">
        <v>70</v>
      </c>
      <c r="U22" t="s">
        <v>96</v>
      </c>
      <c r="V22" s="47">
        <f>V12*1.2</f>
        <v>18.336</v>
      </c>
      <c r="X22" t="s">
        <v>127</v>
      </c>
      <c r="Y22" t="s">
        <v>135</v>
      </c>
      <c r="AA22" t="str">
        <f t="shared" si="0"/>
        <v>HH2</v>
      </c>
      <c r="AC22" t="s">
        <v>99</v>
      </c>
    </row>
    <row r="23" spans="3:29">
      <c r="C23" t="s">
        <v>50</v>
      </c>
      <c r="D23" t="s">
        <v>132</v>
      </c>
      <c r="E23">
        <v>2030</v>
      </c>
      <c r="H23">
        <v>0</v>
      </c>
      <c r="I23" t="s">
        <v>136</v>
      </c>
      <c r="T23" t="s">
        <v>70</v>
      </c>
      <c r="U23" t="s">
        <v>96</v>
      </c>
      <c r="V23" s="47">
        <f>V13*1.2</f>
        <v>8.328</v>
      </c>
      <c r="X23" t="s">
        <v>127</v>
      </c>
      <c r="Y23" t="s">
        <v>137</v>
      </c>
      <c r="AA23" t="str">
        <f t="shared" si="0"/>
        <v>HH2</v>
      </c>
      <c r="AC23" t="s">
        <v>99</v>
      </c>
    </row>
    <row r="24" spans="3:29">
      <c r="C24" t="s">
        <v>50</v>
      </c>
      <c r="D24" t="s">
        <v>132</v>
      </c>
      <c r="E24">
        <v>2020</v>
      </c>
      <c r="H24" t="s">
        <v>133</v>
      </c>
      <c r="I24" t="s">
        <v>138</v>
      </c>
      <c r="T24" t="s">
        <v>70</v>
      </c>
      <c r="U24" t="s">
        <v>96</v>
      </c>
      <c r="V24">
        <v>5</v>
      </c>
      <c r="X24" t="s">
        <v>139</v>
      </c>
      <c r="Y24" t="s">
        <v>140</v>
      </c>
      <c r="AA24" t="str">
        <f t="shared" si="0"/>
        <v>OIL*</v>
      </c>
      <c r="AB24" s="51" t="s">
        <v>141</v>
      </c>
      <c r="AC24" t="s">
        <v>99</v>
      </c>
    </row>
    <row r="25" spans="3:29">
      <c r="C25" t="s">
        <v>50</v>
      </c>
      <c r="D25" t="s">
        <v>132</v>
      </c>
      <c r="E25">
        <v>2050</v>
      </c>
      <c r="H25" t="s">
        <v>142</v>
      </c>
      <c r="I25" t="s">
        <v>138</v>
      </c>
      <c r="T25" t="s">
        <v>70</v>
      </c>
      <c r="U25" t="s">
        <v>96</v>
      </c>
      <c r="V25" s="47">
        <f>V22</f>
        <v>18.336</v>
      </c>
      <c r="X25" t="s">
        <v>127</v>
      </c>
      <c r="Y25" t="s">
        <v>140</v>
      </c>
      <c r="AA25" t="str">
        <f t="shared" si="0"/>
        <v>HH2</v>
      </c>
      <c r="AC25" t="s">
        <v>99</v>
      </c>
    </row>
    <row r="26" spans="4:29">
      <c r="D26" t="s">
        <v>143</v>
      </c>
      <c r="E26">
        <v>2020</v>
      </c>
      <c r="H26" s="51" t="s">
        <v>144</v>
      </c>
      <c r="I26" t="s">
        <v>71</v>
      </c>
      <c r="J26" t="s">
        <v>145</v>
      </c>
      <c r="L26" t="s">
        <v>146</v>
      </c>
      <c r="T26" t="s">
        <v>70</v>
      </c>
      <c r="U26" t="s">
        <v>96</v>
      </c>
      <c r="V26">
        <v>5</v>
      </c>
      <c r="X26" t="s">
        <v>147</v>
      </c>
      <c r="Y26" t="s">
        <v>140</v>
      </c>
      <c r="AA26" t="str">
        <f t="shared" si="0"/>
        <v>BIODST,BIOGSL</v>
      </c>
      <c r="AB26" s="51" t="s">
        <v>141</v>
      </c>
      <c r="AC26" t="s">
        <v>99</v>
      </c>
    </row>
    <row r="27" spans="4:12">
      <c r="D27" t="s">
        <v>143</v>
      </c>
      <c r="E27">
        <v>2050</v>
      </c>
      <c r="H27" s="51" t="s">
        <v>148</v>
      </c>
      <c r="I27" t="s">
        <v>71</v>
      </c>
      <c r="J27" t="s">
        <v>145</v>
      </c>
      <c r="L27" t="s">
        <v>146</v>
      </c>
    </row>
    <row r="28" spans="4:23">
      <c r="D28" t="s">
        <v>143</v>
      </c>
      <c r="E28">
        <v>2020</v>
      </c>
      <c r="H28">
        <v>1</v>
      </c>
      <c r="I28" t="s">
        <v>71</v>
      </c>
      <c r="J28" t="s">
        <v>145</v>
      </c>
      <c r="K28" t="s">
        <v>149</v>
      </c>
      <c r="W28" t="s">
        <v>150</v>
      </c>
    </row>
    <row r="29" spans="3:135">
      <c r="C29" t="s">
        <v>151</v>
      </c>
      <c r="D29" t="s">
        <v>132</v>
      </c>
      <c r="E29">
        <v>2020</v>
      </c>
      <c r="H29" t="s">
        <v>133</v>
      </c>
      <c r="I29" t="s">
        <v>108</v>
      </c>
      <c r="W29" s="48" t="s">
        <v>73</v>
      </c>
      <c r="X29" s="49" t="s">
        <v>152</v>
      </c>
      <c r="Y29" s="49" t="s">
        <v>153</v>
      </c>
      <c r="Z29" s="49" t="s">
        <v>154</v>
      </c>
      <c r="AA29" s="49" t="s">
        <v>155</v>
      </c>
      <c r="AB29" s="49" t="s">
        <v>156</v>
      </c>
      <c r="AC29" s="49" t="s">
        <v>9</v>
      </c>
      <c r="AD29" s="49" t="s">
        <v>10</v>
      </c>
      <c r="AE29" s="49" t="s">
        <v>157</v>
      </c>
      <c r="AF29" s="49" t="s">
        <v>158</v>
      </c>
      <c r="AG29" s="49" t="s">
        <v>159</v>
      </c>
      <c r="AH29" s="49" t="s">
        <v>160</v>
      </c>
      <c r="AI29" s="49" t="s">
        <v>161</v>
      </c>
      <c r="AJ29" s="49" t="s">
        <v>13</v>
      </c>
      <c r="AK29" s="49" t="s">
        <v>162</v>
      </c>
      <c r="AL29" s="49" t="s">
        <v>163</v>
      </c>
      <c r="AM29" s="49" t="s">
        <v>164</v>
      </c>
      <c r="AN29" s="49" t="s">
        <v>165</v>
      </c>
      <c r="AO29" s="49" t="s">
        <v>14</v>
      </c>
      <c r="AP29" s="49" t="s">
        <v>166</v>
      </c>
      <c r="AQ29" s="49" t="s">
        <v>167</v>
      </c>
      <c r="AR29" s="49" t="s">
        <v>168</v>
      </c>
      <c r="AS29" s="49" t="s">
        <v>169</v>
      </c>
      <c r="AT29" s="49" t="s">
        <v>170</v>
      </c>
      <c r="AU29" s="49" t="s">
        <v>171</v>
      </c>
      <c r="AV29" s="49" t="s">
        <v>172</v>
      </c>
      <c r="AW29" s="49" t="s">
        <v>173</v>
      </c>
      <c r="AX29" s="49" t="s">
        <v>174</v>
      </c>
      <c r="AY29" s="49" t="s">
        <v>175</v>
      </c>
      <c r="AZ29" s="49" t="s">
        <v>17</v>
      </c>
      <c r="BA29" s="49" t="s">
        <v>176</v>
      </c>
      <c r="BB29" s="49" t="s">
        <v>18</v>
      </c>
      <c r="BC29" s="49" t="s">
        <v>177</v>
      </c>
      <c r="BD29" s="49" t="s">
        <v>178</v>
      </c>
      <c r="BE29" s="49" t="s">
        <v>179</v>
      </c>
      <c r="BF29" s="49" t="s">
        <v>21</v>
      </c>
      <c r="BG29" s="49" t="s">
        <v>22</v>
      </c>
      <c r="BH29" s="49" t="s">
        <v>180</v>
      </c>
      <c r="BI29" s="49" t="s">
        <v>181</v>
      </c>
      <c r="BJ29" s="49" t="s">
        <v>182</v>
      </c>
      <c r="BK29" s="49" t="s">
        <v>23</v>
      </c>
      <c r="BL29" s="49" t="s">
        <v>183</v>
      </c>
      <c r="BM29" s="49" t="s">
        <v>184</v>
      </c>
      <c r="BN29" s="49" t="s">
        <v>185</v>
      </c>
      <c r="BO29" s="49" t="s">
        <v>25</v>
      </c>
      <c r="BP29" s="49" t="s">
        <v>186</v>
      </c>
      <c r="BQ29" s="49" t="s">
        <v>187</v>
      </c>
      <c r="BR29" s="49" t="s">
        <v>188</v>
      </c>
      <c r="BS29" s="49" t="s">
        <v>189</v>
      </c>
      <c r="BT29" s="49" t="s">
        <v>190</v>
      </c>
      <c r="BU29" s="49" t="s">
        <v>191</v>
      </c>
      <c r="BV29" s="49" t="s">
        <v>192</v>
      </c>
      <c r="BW29" s="49" t="s">
        <v>193</v>
      </c>
      <c r="BX29" s="49" t="s">
        <v>194</v>
      </c>
      <c r="BY29" s="49" t="s">
        <v>195</v>
      </c>
      <c r="BZ29" s="49" t="s">
        <v>196</v>
      </c>
      <c r="CA29" s="49" t="s">
        <v>197</v>
      </c>
      <c r="CB29" s="49" t="s">
        <v>198</v>
      </c>
      <c r="CC29" s="49" t="s">
        <v>199</v>
      </c>
      <c r="CD29" s="49" t="s">
        <v>200</v>
      </c>
      <c r="CE29" s="49" t="s">
        <v>201</v>
      </c>
      <c r="CF29" s="49" t="s">
        <v>202</v>
      </c>
      <c r="CG29" s="49" t="s">
        <v>203</v>
      </c>
      <c r="CH29" s="49" t="s">
        <v>204</v>
      </c>
      <c r="CI29" s="49" t="s">
        <v>205</v>
      </c>
      <c r="CJ29" s="49" t="s">
        <v>206</v>
      </c>
      <c r="CK29" s="49" t="s">
        <v>207</v>
      </c>
      <c r="CL29" s="49" t="s">
        <v>208</v>
      </c>
      <c r="CM29" s="49" t="s">
        <v>29</v>
      </c>
      <c r="CN29" s="49" t="s">
        <v>209</v>
      </c>
      <c r="CO29" s="49" t="s">
        <v>210</v>
      </c>
      <c r="CP29" s="49" t="s">
        <v>211</v>
      </c>
      <c r="CQ29" s="49" t="s">
        <v>212</v>
      </c>
      <c r="CR29" s="49" t="s">
        <v>213</v>
      </c>
      <c r="CS29" s="49" t="s">
        <v>214</v>
      </c>
      <c r="CT29" s="49" t="s">
        <v>215</v>
      </c>
      <c r="CU29" s="49" t="s">
        <v>216</v>
      </c>
      <c r="CV29" s="49" t="s">
        <v>217</v>
      </c>
      <c r="CW29" s="49" t="s">
        <v>30</v>
      </c>
      <c r="CX29" s="49" t="s">
        <v>218</v>
      </c>
      <c r="CY29" s="49" t="s">
        <v>219</v>
      </c>
      <c r="CZ29" s="49" t="s">
        <v>220</v>
      </c>
      <c r="DA29" s="49" t="s">
        <v>32</v>
      </c>
      <c r="DB29" s="49" t="s">
        <v>33</v>
      </c>
      <c r="DC29" s="49" t="s">
        <v>221</v>
      </c>
      <c r="DD29" s="49" t="s">
        <v>222</v>
      </c>
      <c r="DE29" s="49" t="s">
        <v>223</v>
      </c>
      <c r="DF29" s="49" t="s">
        <v>224</v>
      </c>
      <c r="DG29" s="49" t="s">
        <v>34</v>
      </c>
      <c r="DH29" s="49" t="s">
        <v>225</v>
      </c>
      <c r="DI29" s="49" t="s">
        <v>226</v>
      </c>
      <c r="DJ29" s="49" t="s">
        <v>227</v>
      </c>
      <c r="DK29" s="49" t="s">
        <v>228</v>
      </c>
      <c r="DL29" s="49" t="s">
        <v>37</v>
      </c>
      <c r="DM29" s="49" t="s">
        <v>229</v>
      </c>
      <c r="DN29" s="49" t="s">
        <v>230</v>
      </c>
      <c r="DO29" s="49" t="s">
        <v>231</v>
      </c>
      <c r="DP29" s="49" t="s">
        <v>232</v>
      </c>
      <c r="DQ29" s="49" t="s">
        <v>233</v>
      </c>
      <c r="DR29" s="49" t="s">
        <v>38</v>
      </c>
      <c r="DS29" s="49" t="s">
        <v>234</v>
      </c>
      <c r="DT29" s="49" t="s">
        <v>235</v>
      </c>
      <c r="DU29" s="49" t="s">
        <v>39</v>
      </c>
      <c r="DV29" s="49" t="s">
        <v>40</v>
      </c>
      <c r="DW29" s="49" t="s">
        <v>236</v>
      </c>
      <c r="DX29" s="49" t="s">
        <v>237</v>
      </c>
      <c r="DY29" s="49" t="s">
        <v>238</v>
      </c>
      <c r="DZ29" s="49" t="s">
        <v>239</v>
      </c>
      <c r="EA29" s="49" t="s">
        <v>240</v>
      </c>
      <c r="EB29" s="49" t="s">
        <v>241</v>
      </c>
      <c r="EC29" s="49" t="s">
        <v>242</v>
      </c>
      <c r="ED29" s="49" t="s">
        <v>243</v>
      </c>
      <c r="EE29" s="49" t="s">
        <v>244</v>
      </c>
    </row>
    <row r="30" spans="3:133">
      <c r="C30" t="s">
        <v>151</v>
      </c>
      <c r="D30" t="s">
        <v>132</v>
      </c>
      <c r="E30">
        <v>2040</v>
      </c>
      <c r="H30">
        <v>0</v>
      </c>
      <c r="I30" t="str">
        <f t="shared" ref="I30:I35" si="1">I29</f>
        <v>SUP_TREFINER</v>
      </c>
      <c r="W30" s="50" t="s">
        <v>245</v>
      </c>
      <c r="X30" s="24">
        <v>0.5</v>
      </c>
      <c r="Y30" s="24">
        <v>0.5</v>
      </c>
      <c r="Z30" s="24">
        <v>0.5</v>
      </c>
      <c r="AA30" s="24">
        <v>0.5</v>
      </c>
      <c r="AB30" s="24">
        <v>0.880330129689671</v>
      </c>
      <c r="AC30" s="24">
        <v>0.5</v>
      </c>
      <c r="AD30" s="24">
        <v>1.43635426584992</v>
      </c>
      <c r="AE30" s="24">
        <v>0.28640020473296</v>
      </c>
      <c r="AF30" s="24">
        <v>0.5</v>
      </c>
      <c r="AG30" s="24">
        <v>1.89681589551844</v>
      </c>
      <c r="AH30" s="24">
        <v>0.529561709177279</v>
      </c>
      <c r="AI30" s="24">
        <v>2.23280493333333</v>
      </c>
      <c r="AJ30" s="24">
        <v>0.5</v>
      </c>
      <c r="AK30" s="24">
        <v>1.537054107788</v>
      </c>
      <c r="AL30" s="24">
        <v>0.5</v>
      </c>
      <c r="AM30" s="24">
        <v>0.517841558664547</v>
      </c>
      <c r="AN30" s="24">
        <v>0.5</v>
      </c>
      <c r="AO30" s="24">
        <v>0.68859433785327</v>
      </c>
      <c r="AP30" s="24">
        <v>0.5</v>
      </c>
      <c r="AQ30" s="24">
        <v>0.909913973797886</v>
      </c>
      <c r="AR30" s="24">
        <v>0.246856388121547</v>
      </c>
      <c r="AS30" s="24">
        <v>1.53715037026844</v>
      </c>
      <c r="AT30" s="24">
        <v>2.00954461975029</v>
      </c>
      <c r="AU30" s="24">
        <v>0.5</v>
      </c>
      <c r="AV30" s="24">
        <v>0.5</v>
      </c>
      <c r="AW30" s="24">
        <v>2.53614386666485</v>
      </c>
      <c r="AX30" s="24">
        <v>0.5</v>
      </c>
      <c r="AY30" s="24">
        <v>1.31959168743754</v>
      </c>
      <c r="AZ30" s="24">
        <v>1.26333562748337</v>
      </c>
      <c r="BA30" s="24">
        <v>0.5</v>
      </c>
      <c r="BB30" s="24">
        <v>0.811463508464399</v>
      </c>
      <c r="BC30" s="24">
        <v>0.5</v>
      </c>
      <c r="BD30" s="24">
        <v>0.070924584645638</v>
      </c>
      <c r="BE30" s="24">
        <v>0.538886154380813</v>
      </c>
      <c r="BF30" s="24">
        <v>0.772108172627653</v>
      </c>
      <c r="BG30" s="24">
        <v>0.5</v>
      </c>
      <c r="BH30" s="24">
        <v>0.5</v>
      </c>
      <c r="BI30" s="24">
        <v>0.5</v>
      </c>
      <c r="BJ30" s="24">
        <v>0.5</v>
      </c>
      <c r="BK30" s="24">
        <v>0.5</v>
      </c>
      <c r="BL30" s="24">
        <v>0.5</v>
      </c>
      <c r="BM30" s="24">
        <v>0.561679665057759</v>
      </c>
      <c r="BN30" s="24">
        <v>0.5</v>
      </c>
      <c r="BO30" s="24">
        <v>0.5</v>
      </c>
      <c r="BP30" s="24">
        <v>1.01202692206269</v>
      </c>
      <c r="BQ30" s="24">
        <v>0.5</v>
      </c>
      <c r="BR30" s="24">
        <v>0.5</v>
      </c>
      <c r="BS30" s="24">
        <v>0.5</v>
      </c>
      <c r="BT30" s="24">
        <v>1.95745180124224</v>
      </c>
      <c r="BU30" s="24">
        <v>0.888576032268769</v>
      </c>
      <c r="BV30" s="24">
        <v>0.5</v>
      </c>
      <c r="BW30" s="24">
        <v>3.52832406934561</v>
      </c>
      <c r="BX30" s="24">
        <v>2.40276262425447</v>
      </c>
      <c r="BY30" s="24">
        <v>0.272378558393112</v>
      </c>
      <c r="BZ30" s="24">
        <v>0.5</v>
      </c>
      <c r="CA30" s="24">
        <v>0.0381549757850336</v>
      </c>
      <c r="CB30" s="24">
        <v>0.5</v>
      </c>
      <c r="CC30" s="24">
        <v>2.14285661050061</v>
      </c>
      <c r="CD30" s="24">
        <v>0.5</v>
      </c>
      <c r="CE30" s="24">
        <v>0.5</v>
      </c>
      <c r="CF30" s="24">
        <v>0.5</v>
      </c>
      <c r="CG30" s="24">
        <v>0.5</v>
      </c>
      <c r="CH30" s="24">
        <v>0.5</v>
      </c>
      <c r="CI30" s="24">
        <v>0.501708699005855</v>
      </c>
      <c r="CJ30" s="24">
        <v>0.140262611393448</v>
      </c>
      <c r="CK30" s="24">
        <v>0.5</v>
      </c>
      <c r="CL30" s="24">
        <v>0.5</v>
      </c>
      <c r="CM30" s="24">
        <v>0.802398418234181</v>
      </c>
      <c r="CN30" s="24">
        <v>0.5</v>
      </c>
      <c r="CO30" s="24">
        <v>0.5</v>
      </c>
      <c r="CP30" s="24">
        <v>2.62476848951937</v>
      </c>
      <c r="CQ30" s="24">
        <v>0.5</v>
      </c>
      <c r="CR30" s="24">
        <v>0.5</v>
      </c>
      <c r="CS30" s="24">
        <v>0.5</v>
      </c>
      <c r="CT30" s="24">
        <v>0.5</v>
      </c>
      <c r="CU30" s="24">
        <v>0.5</v>
      </c>
      <c r="CV30" s="24">
        <v>0.5</v>
      </c>
      <c r="CW30" s="24">
        <v>0.373873615902288</v>
      </c>
      <c r="CX30" s="24">
        <v>0.803610304903818</v>
      </c>
      <c r="CY30" s="24">
        <v>0.5</v>
      </c>
      <c r="CZ30" s="24">
        <v>1.55182037907902</v>
      </c>
      <c r="DA30" s="24">
        <v>1.16378960402365</v>
      </c>
      <c r="DB30" s="24">
        <v>0.5</v>
      </c>
      <c r="DC30" s="24">
        <v>0.561445981739307</v>
      </c>
      <c r="DD30" s="24">
        <v>0.5</v>
      </c>
      <c r="DE30" s="24">
        <v>0.897015103002906</v>
      </c>
      <c r="DF30" s="24">
        <v>1.66556152209298</v>
      </c>
      <c r="DG30" s="24">
        <v>0.5</v>
      </c>
      <c r="DH30" s="24">
        <v>0.885985126939045</v>
      </c>
      <c r="DI30" s="24">
        <v>0.5</v>
      </c>
      <c r="DJ30" s="24">
        <v>0.5</v>
      </c>
      <c r="DK30" s="24">
        <v>2.63778652576313</v>
      </c>
      <c r="DL30" s="24">
        <v>1.49857000783021</v>
      </c>
      <c r="DM30" s="24">
        <v>0.675302561450318</v>
      </c>
      <c r="DN30" s="24">
        <v>0.546933177198058</v>
      </c>
      <c r="DO30" s="24">
        <v>0.5</v>
      </c>
      <c r="DP30" s="24">
        <v>0.5</v>
      </c>
      <c r="DQ30" s="24">
        <v>0.5</v>
      </c>
      <c r="DR30" s="24">
        <v>0.908669382059128</v>
      </c>
      <c r="DS30" s="24">
        <v>0.134099188596824</v>
      </c>
      <c r="DT30" s="24">
        <v>0.5</v>
      </c>
      <c r="DU30" s="24">
        <v>0.5</v>
      </c>
      <c r="DV30" s="24">
        <v>2.62534518744376</v>
      </c>
      <c r="DW30" s="24">
        <v>0.418643251337677</v>
      </c>
      <c r="DX30" s="24">
        <v>0.626320758771659</v>
      </c>
      <c r="DY30" s="24">
        <v>0.5</v>
      </c>
      <c r="DZ30" s="24">
        <v>0.5</v>
      </c>
      <c r="EA30" s="24">
        <v>0.5</v>
      </c>
      <c r="EB30" s="24">
        <v>0.5</v>
      </c>
      <c r="EC30">
        <v>0.749796700156402</v>
      </c>
    </row>
    <row r="31" spans="3:135">
      <c r="C31" t="s">
        <v>151</v>
      </c>
      <c r="D31" t="s">
        <v>132</v>
      </c>
      <c r="E31">
        <v>0</v>
      </c>
      <c r="H31">
        <v>1</v>
      </c>
      <c r="I31" t="str">
        <f t="shared" si="1"/>
        <v>SUP_TREFINER</v>
      </c>
      <c r="W31" s="50" t="s">
        <v>245</v>
      </c>
      <c r="ED31">
        <v>0</v>
      </c>
      <c r="EE31">
        <v>3</v>
      </c>
    </row>
    <row r="32" spans="2:9">
      <c r="B32" t="s">
        <v>246</v>
      </c>
      <c r="D32" t="s">
        <v>132</v>
      </c>
      <c r="E32">
        <v>2000</v>
      </c>
      <c r="F32" t="s">
        <v>247</v>
      </c>
      <c r="H32" t="s">
        <v>248</v>
      </c>
      <c r="I32" t="str">
        <f t="shared" si="1"/>
        <v>SUP_TREFINER</v>
      </c>
    </row>
    <row r="33" spans="2:9">
      <c r="B33" t="s">
        <v>246</v>
      </c>
      <c r="D33" t="s">
        <v>132</v>
      </c>
      <c r="E33">
        <v>2010</v>
      </c>
      <c r="F33" t="s">
        <v>247</v>
      </c>
      <c r="H33" t="s">
        <v>248</v>
      </c>
      <c r="I33" t="str">
        <f t="shared" si="1"/>
        <v>SUP_TREFINER</v>
      </c>
    </row>
    <row r="34" spans="3:11">
      <c r="C34" t="s">
        <v>246</v>
      </c>
      <c r="D34" t="s">
        <v>143</v>
      </c>
      <c r="H34" t="s">
        <v>133</v>
      </c>
      <c r="I34" t="str">
        <f t="shared" si="1"/>
        <v>SUP_TREFINER</v>
      </c>
      <c r="K34" t="s">
        <v>249</v>
      </c>
    </row>
    <row r="35" spans="3:11">
      <c r="C35" t="s">
        <v>246</v>
      </c>
      <c r="D35" t="s">
        <v>250</v>
      </c>
      <c r="E35">
        <v>0</v>
      </c>
      <c r="H35">
        <v>3</v>
      </c>
      <c r="I35" t="str">
        <f t="shared" si="1"/>
        <v>SUP_TREFINER</v>
      </c>
      <c r="K35" t="s">
        <v>249</v>
      </c>
    </row>
    <row r="36" spans="4:21">
      <c r="D36" s="43" t="s">
        <v>250</v>
      </c>
      <c r="E36">
        <v>2020</v>
      </c>
      <c r="H36" t="s">
        <v>144</v>
      </c>
      <c r="I36" t="s">
        <v>71</v>
      </c>
      <c r="J36" t="s">
        <v>145</v>
      </c>
      <c r="K36" t="s">
        <v>251</v>
      </c>
      <c r="U36" t="s">
        <v>89</v>
      </c>
    </row>
    <row r="37" spans="21:26">
      <c r="U37" t="s">
        <v>252</v>
      </c>
      <c r="V37" t="s">
        <v>56</v>
      </c>
      <c r="W37" t="s">
        <v>43</v>
      </c>
      <c r="X37" t="s">
        <v>253</v>
      </c>
      <c r="Y37">
        <v>2019</v>
      </c>
      <c r="Z37">
        <v>0</v>
      </c>
    </row>
    <row r="38" spans="22:26">
      <c r="V38" t="s">
        <v>254</v>
      </c>
      <c r="W38" t="s">
        <v>50</v>
      </c>
      <c r="X38" t="s">
        <v>255</v>
      </c>
      <c r="Y38">
        <v>0</v>
      </c>
      <c r="Z38">
        <v>3</v>
      </c>
    </row>
    <row r="39" spans="10:10">
      <c r="J39" t="s">
        <v>256</v>
      </c>
    </row>
    <row r="40" spans="10:13">
      <c r="J40" t="s">
        <v>73</v>
      </c>
      <c r="K40" t="s">
        <v>74</v>
      </c>
      <c r="L40" t="s">
        <v>253</v>
      </c>
      <c r="M40" s="51" t="s">
        <v>75</v>
      </c>
    </row>
    <row r="41" spans="10:13">
      <c r="J41" t="s">
        <v>257</v>
      </c>
      <c r="K41" t="s">
        <v>258</v>
      </c>
      <c r="L41" t="s">
        <v>81</v>
      </c>
      <c r="M41" s="51" t="s">
        <v>259</v>
      </c>
    </row>
    <row r="42" spans="10:13">
      <c r="J42" t="s">
        <v>257</v>
      </c>
      <c r="K42" t="s">
        <v>260</v>
      </c>
      <c r="L42" t="s">
        <v>261</v>
      </c>
      <c r="M42" t="s">
        <v>262</v>
      </c>
    </row>
    <row r="43" spans="10:13">
      <c r="J43" t="s">
        <v>257</v>
      </c>
      <c r="K43" t="s">
        <v>260</v>
      </c>
      <c r="L43" t="s">
        <v>263</v>
      </c>
      <c r="M43" t="s">
        <v>262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19"/>
  <sheetViews>
    <sheetView zoomScale="91" zoomScaleNormal="91" workbookViewId="0">
      <selection activeCell="M21" sqref="M21"/>
    </sheetView>
  </sheetViews>
  <sheetFormatPr defaultColWidth="9" defaultRowHeight="14.5"/>
  <sheetData>
    <row r="3" spans="2:2">
      <c r="B3" t="s">
        <v>264</v>
      </c>
    </row>
    <row r="4" spans="2:10">
      <c r="B4" t="s">
        <v>5</v>
      </c>
      <c r="C4" t="s">
        <v>265</v>
      </c>
      <c r="D4" t="s">
        <v>75</v>
      </c>
      <c r="E4" t="s">
        <v>266</v>
      </c>
      <c r="F4" t="s">
        <v>77</v>
      </c>
      <c r="H4" t="s">
        <v>267</v>
      </c>
      <c r="J4" t="s">
        <v>268</v>
      </c>
    </row>
    <row r="5" spans="2:8">
      <c r="B5" t="s">
        <v>269</v>
      </c>
      <c r="C5" t="s">
        <v>270</v>
      </c>
      <c r="D5" t="s">
        <v>99</v>
      </c>
      <c r="E5" t="s">
        <v>271</v>
      </c>
      <c r="F5" s="51" t="s">
        <v>272</v>
      </c>
      <c r="H5" t="s">
        <v>273</v>
      </c>
    </row>
    <row r="6" spans="2:8">
      <c r="B6" t="s">
        <v>269</v>
      </c>
      <c r="C6" t="s">
        <v>106</v>
      </c>
      <c r="D6" t="s">
        <v>99</v>
      </c>
      <c r="E6" t="s">
        <v>274</v>
      </c>
      <c r="F6" s="51" t="s">
        <v>272</v>
      </c>
      <c r="H6" t="s">
        <v>273</v>
      </c>
    </row>
    <row r="7" spans="2:8">
      <c r="B7" t="s">
        <v>269</v>
      </c>
      <c r="C7" t="s">
        <v>275</v>
      </c>
      <c r="D7" t="s">
        <v>99</v>
      </c>
      <c r="E7" t="s">
        <v>276</v>
      </c>
      <c r="F7" s="51" t="s">
        <v>272</v>
      </c>
      <c r="H7" t="s">
        <v>273</v>
      </c>
    </row>
    <row r="8" spans="2:2">
      <c r="B8" t="s">
        <v>277</v>
      </c>
    </row>
    <row r="9" spans="2:8">
      <c r="B9" t="s">
        <v>269</v>
      </c>
      <c r="C9" t="s">
        <v>270</v>
      </c>
      <c r="D9" t="s">
        <v>99</v>
      </c>
      <c r="E9" t="s">
        <v>278</v>
      </c>
      <c r="F9" s="51" t="s">
        <v>272</v>
      </c>
      <c r="H9" t="s">
        <v>273</v>
      </c>
    </row>
    <row r="10" spans="2:8">
      <c r="B10" t="s">
        <v>269</v>
      </c>
      <c r="C10" t="s">
        <v>106</v>
      </c>
      <c r="D10" t="s">
        <v>99</v>
      </c>
      <c r="E10" t="s">
        <v>279</v>
      </c>
      <c r="F10" s="51" t="s">
        <v>272</v>
      </c>
      <c r="H10" t="s">
        <v>273</v>
      </c>
    </row>
    <row r="11" spans="2:8">
      <c r="B11" t="s">
        <v>269</v>
      </c>
      <c r="C11" t="s">
        <v>275</v>
      </c>
      <c r="D11" t="s">
        <v>99</v>
      </c>
      <c r="E11" t="s">
        <v>280</v>
      </c>
      <c r="F11" s="51" t="s">
        <v>272</v>
      </c>
      <c r="H11" t="s">
        <v>273</v>
      </c>
    </row>
    <row r="12" spans="2:2">
      <c r="B12" t="s">
        <v>277</v>
      </c>
    </row>
    <row r="13" spans="2:8">
      <c r="B13" t="s">
        <v>281</v>
      </c>
      <c r="C13" t="s">
        <v>282</v>
      </c>
      <c r="D13" t="s">
        <v>99</v>
      </c>
      <c r="E13" t="s">
        <v>283</v>
      </c>
      <c r="H13" t="s">
        <v>284</v>
      </c>
    </row>
    <row r="17" spans="2:2">
      <c r="B17" t="s">
        <v>89</v>
      </c>
    </row>
    <row r="18" spans="2:5">
      <c r="B18" t="s">
        <v>73</v>
      </c>
      <c r="C18" t="s">
        <v>91</v>
      </c>
      <c r="D18">
        <v>2023</v>
      </c>
      <c r="E18">
        <v>0</v>
      </c>
    </row>
    <row r="19" spans="2:5">
      <c r="B19" t="s">
        <v>285</v>
      </c>
      <c r="C19" t="s">
        <v>286</v>
      </c>
      <c r="D19">
        <v>0</v>
      </c>
      <c r="E19">
        <v>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J173"/>
  <sheetViews>
    <sheetView zoomScale="63" zoomScaleNormal="63" workbookViewId="0">
      <selection activeCell="Q29" sqref="Q29"/>
    </sheetView>
  </sheetViews>
  <sheetFormatPr defaultColWidth="9" defaultRowHeight="14.5"/>
  <cols>
    <col min="10" max="10" width="7" customWidth="1"/>
    <col min="11" max="11" width="8.26363636363636" customWidth="1"/>
    <col min="12" max="12" width="4.72727272727273" customWidth="1"/>
  </cols>
  <sheetData>
    <row r="2" spans="2:9">
      <c r="B2" t="s">
        <v>264</v>
      </c>
      <c r="I2" t="s">
        <v>53</v>
      </c>
    </row>
    <row r="3" spans="2:12">
      <c r="B3" t="s">
        <v>5</v>
      </c>
      <c r="C3" t="s">
        <v>287</v>
      </c>
      <c r="D3" t="s">
        <v>75</v>
      </c>
      <c r="E3" t="s">
        <v>266</v>
      </c>
      <c r="I3" t="s">
        <v>73</v>
      </c>
      <c r="J3" t="s">
        <v>91</v>
      </c>
      <c r="K3" t="s">
        <v>244</v>
      </c>
      <c r="L3" t="s">
        <v>243</v>
      </c>
    </row>
    <row r="4" spans="2:11">
      <c r="B4" t="s">
        <v>112</v>
      </c>
      <c r="C4" t="s">
        <v>288</v>
      </c>
      <c r="D4" t="s">
        <v>99</v>
      </c>
      <c r="E4" t="s">
        <v>289</v>
      </c>
      <c r="I4" t="s">
        <v>290</v>
      </c>
      <c r="J4" t="s">
        <v>291</v>
      </c>
      <c r="K4">
        <v>15</v>
      </c>
    </row>
    <row r="5" spans="2:12">
      <c r="B5" t="s">
        <v>112</v>
      </c>
      <c r="C5" t="s">
        <v>292</v>
      </c>
      <c r="D5" t="s">
        <v>99</v>
      </c>
      <c r="E5" t="s">
        <v>293</v>
      </c>
      <c r="I5" t="s">
        <v>290</v>
      </c>
      <c r="J5" t="s">
        <v>291</v>
      </c>
      <c r="K5">
        <v>2</v>
      </c>
      <c r="L5">
        <v>0</v>
      </c>
    </row>
    <row r="6" spans="2:11">
      <c r="B6" t="s">
        <v>112</v>
      </c>
      <c r="C6" t="s">
        <v>294</v>
      </c>
      <c r="D6" t="s">
        <v>99</v>
      </c>
      <c r="E6" t="s">
        <v>295</v>
      </c>
      <c r="I6" t="s">
        <v>296</v>
      </c>
      <c r="J6" t="s">
        <v>291</v>
      </c>
      <c r="K6">
        <v>7</v>
      </c>
    </row>
    <row r="7" spans="3:5">
      <c r="C7" t="s">
        <v>297</v>
      </c>
      <c r="D7" t="s">
        <v>99</v>
      </c>
      <c r="E7" t="s">
        <v>298</v>
      </c>
    </row>
    <row r="8" spans="3:5">
      <c r="C8" t="s">
        <v>299</v>
      </c>
      <c r="D8" t="s">
        <v>99</v>
      </c>
      <c r="E8" t="s">
        <v>300</v>
      </c>
    </row>
    <row r="9" spans="3:5">
      <c r="C9" t="s">
        <v>301</v>
      </c>
      <c r="D9" t="s">
        <v>99</v>
      </c>
      <c r="E9" t="s">
        <v>302</v>
      </c>
    </row>
    <row r="12" spans="2:2">
      <c r="B12" t="s">
        <v>53</v>
      </c>
    </row>
    <row r="13" spans="2:11">
      <c r="B13" t="s">
        <v>56</v>
      </c>
      <c r="C13" t="s">
        <v>5</v>
      </c>
      <c r="D13" t="s">
        <v>287</v>
      </c>
      <c r="E13" t="s">
        <v>266</v>
      </c>
      <c r="F13" s="51" t="s">
        <v>75</v>
      </c>
      <c r="K13" t="s">
        <v>303</v>
      </c>
    </row>
    <row r="14" spans="2:36">
      <c r="B14" t="s">
        <v>304</v>
      </c>
      <c r="C14" t="s">
        <v>112</v>
      </c>
      <c r="D14" t="s">
        <v>288</v>
      </c>
      <c r="E14" t="s">
        <v>114</v>
      </c>
      <c r="F14">
        <v>1.25</v>
      </c>
      <c r="K14" t="s">
        <v>74</v>
      </c>
      <c r="L14" t="s">
        <v>243</v>
      </c>
      <c r="M14" t="s">
        <v>9</v>
      </c>
      <c r="N14" t="s">
        <v>10</v>
      </c>
      <c r="O14" t="s">
        <v>12</v>
      </c>
      <c r="P14" t="s">
        <v>13</v>
      </c>
      <c r="Q14" t="s">
        <v>14</v>
      </c>
      <c r="R14" t="s">
        <v>17</v>
      </c>
      <c r="S14" t="s">
        <v>18</v>
      </c>
      <c r="T14" t="s">
        <v>19</v>
      </c>
      <c r="U14" t="s">
        <v>21</v>
      </c>
      <c r="V14" t="s">
        <v>22</v>
      </c>
      <c r="W14" t="s">
        <v>24</v>
      </c>
      <c r="X14" t="s">
        <v>25</v>
      </c>
      <c r="Y14" t="s">
        <v>26</v>
      </c>
      <c r="Z14" t="s">
        <v>27</v>
      </c>
      <c r="AA14" t="s">
        <v>28</v>
      </c>
      <c r="AB14" t="s">
        <v>29</v>
      </c>
      <c r="AC14" t="s">
        <v>30</v>
      </c>
      <c r="AD14" t="s">
        <v>31</v>
      </c>
      <c r="AE14" t="s">
        <v>34</v>
      </c>
      <c r="AF14" t="s">
        <v>35</v>
      </c>
      <c r="AG14" t="s">
        <v>36</v>
      </c>
      <c r="AH14" t="s">
        <v>37</v>
      </c>
      <c r="AI14" t="s">
        <v>38</v>
      </c>
      <c r="AJ14" t="s">
        <v>39</v>
      </c>
    </row>
    <row r="15" spans="11:36">
      <c r="K15" t="s">
        <v>305</v>
      </c>
      <c r="L15">
        <v>2019</v>
      </c>
      <c r="M15" s="7">
        <f t="shared" ref="M15:V20" si="0">SUMIFS($D$19:$D$199,$C$19:$C$199,$L15,$B$19:$B$199,M$14)/5</f>
        <v>0.0013436</v>
      </c>
      <c r="N15" s="7">
        <f t="shared" si="0"/>
        <v>0.0016</v>
      </c>
      <c r="O15" s="7">
        <f t="shared" si="0"/>
        <v>0.015</v>
      </c>
      <c r="P15" s="7">
        <f t="shared" si="0"/>
        <v>0.0002</v>
      </c>
      <c r="Q15" s="7">
        <f t="shared" si="0"/>
        <v>0.222</v>
      </c>
      <c r="R15" s="7">
        <f t="shared" si="0"/>
        <v>0.009</v>
      </c>
      <c r="S15" s="7">
        <f t="shared" si="0"/>
        <v>0.015</v>
      </c>
      <c r="T15" s="7">
        <f t="shared" si="0"/>
        <v>0.0002</v>
      </c>
      <c r="U15" s="7">
        <f t="shared" si="0"/>
        <v>0.0004</v>
      </c>
      <c r="V15" s="7">
        <f t="shared" si="0"/>
        <v>0.000312</v>
      </c>
      <c r="W15" s="7">
        <f t="shared" ref="W15:AJ20" si="1">SUMIFS($D$19:$D$199,$C$19:$C$199,$L15,$B$19:$B$199,W$14)/5</f>
        <v>0.0012</v>
      </c>
      <c r="X15" s="7">
        <f t="shared" si="1"/>
        <v>0.0044</v>
      </c>
      <c r="Y15" s="7">
        <f t="shared" si="1"/>
        <v>1e-5</v>
      </c>
      <c r="Z15" s="7">
        <f t="shared" si="1"/>
        <v>0.0005</v>
      </c>
      <c r="AA15" s="7">
        <f t="shared" si="1"/>
        <v>0.07764</v>
      </c>
      <c r="AB15" s="7">
        <f t="shared" si="1"/>
        <v>0.0120632</v>
      </c>
      <c r="AC15" s="7">
        <f t="shared" si="1"/>
        <v>0.0004</v>
      </c>
      <c r="AD15" s="7">
        <f t="shared" si="1"/>
        <v>0.00192</v>
      </c>
      <c r="AE15" s="7">
        <f t="shared" si="1"/>
        <v>2e-5</v>
      </c>
      <c r="AF15" s="7">
        <f t="shared" si="1"/>
        <v>0.0017</v>
      </c>
      <c r="AG15" s="7">
        <f t="shared" si="1"/>
        <v>0.008</v>
      </c>
      <c r="AH15" s="7">
        <f t="shared" si="1"/>
        <v>0.0017</v>
      </c>
      <c r="AI15" s="7">
        <f t="shared" si="1"/>
        <v>0.0002</v>
      </c>
      <c r="AJ15" s="7">
        <f t="shared" si="1"/>
        <v>0.0076</v>
      </c>
    </row>
    <row r="16" spans="11:36">
      <c r="K16" t="s">
        <v>305</v>
      </c>
      <c r="L16">
        <v>2020</v>
      </c>
      <c r="M16" s="7">
        <f t="shared" si="0"/>
        <v>0.00138</v>
      </c>
      <c r="N16" s="7">
        <f t="shared" si="0"/>
        <v>0.0052</v>
      </c>
      <c r="O16" s="7">
        <f t="shared" si="0"/>
        <v>0.0238</v>
      </c>
      <c r="P16" s="7">
        <f t="shared" si="0"/>
        <v>0.003949</v>
      </c>
      <c r="Q16" s="7">
        <f t="shared" si="0"/>
        <v>0.266</v>
      </c>
      <c r="R16" s="7">
        <f t="shared" si="0"/>
        <v>0.037</v>
      </c>
      <c r="S16" s="7">
        <f t="shared" si="0"/>
        <v>0.0796</v>
      </c>
      <c r="T16" s="7">
        <f t="shared" si="0"/>
        <v>0.0004</v>
      </c>
      <c r="U16" s="7">
        <f t="shared" si="0"/>
        <v>0.0008</v>
      </c>
      <c r="V16" s="7">
        <f t="shared" si="0"/>
        <v>0.001</v>
      </c>
      <c r="W16" s="7">
        <f t="shared" si="1"/>
        <v>0.0064</v>
      </c>
      <c r="X16" s="7">
        <f t="shared" si="1"/>
        <v>0.0058</v>
      </c>
      <c r="Y16" s="7">
        <f t="shared" si="1"/>
        <v>2e-5</v>
      </c>
      <c r="Z16" s="7">
        <f t="shared" si="1"/>
        <v>0.0016</v>
      </c>
      <c r="AA16" s="7">
        <f t="shared" si="1"/>
        <v>0.076</v>
      </c>
      <c r="AB16" s="7">
        <f t="shared" si="1"/>
        <v>0.0212</v>
      </c>
      <c r="AC16" s="7">
        <f t="shared" si="1"/>
        <v>0.0016</v>
      </c>
      <c r="AD16" s="7">
        <f t="shared" si="1"/>
        <v>0.0066</v>
      </c>
      <c r="AE16" s="7">
        <f t="shared" si="1"/>
        <v>4e-5</v>
      </c>
      <c r="AF16" s="7">
        <f t="shared" si="1"/>
        <v>0.0066</v>
      </c>
      <c r="AG16" s="7">
        <f t="shared" si="1"/>
        <v>0.0244</v>
      </c>
      <c r="AH16" s="7">
        <f t="shared" si="1"/>
        <v>0.0056</v>
      </c>
      <c r="AI16" s="7">
        <f t="shared" si="1"/>
        <v>0.0004</v>
      </c>
      <c r="AJ16" s="7">
        <f t="shared" si="1"/>
        <v>0.0352</v>
      </c>
    </row>
    <row r="17" spans="11:36">
      <c r="K17" t="s">
        <v>305</v>
      </c>
      <c r="L17">
        <v>2021</v>
      </c>
      <c r="M17" s="7">
        <f t="shared" si="0"/>
        <v>0.0042</v>
      </c>
      <c r="N17" s="7">
        <f t="shared" si="0"/>
        <v>0.0082</v>
      </c>
      <c r="O17" s="7">
        <f t="shared" si="0"/>
        <v>0.0402</v>
      </c>
      <c r="P17" s="7">
        <f t="shared" si="0"/>
        <v>0.0065</v>
      </c>
      <c r="Q17" s="7">
        <f t="shared" si="0"/>
        <v>0.68</v>
      </c>
      <c r="R17" s="7">
        <f t="shared" si="0"/>
        <v>0.063</v>
      </c>
      <c r="S17" s="7">
        <f t="shared" si="0"/>
        <v>0.1362</v>
      </c>
      <c r="T17" s="7">
        <f t="shared" si="0"/>
        <v>0.001</v>
      </c>
      <c r="U17" s="7">
        <f t="shared" si="0"/>
        <v>0.0016</v>
      </c>
      <c r="V17" s="7">
        <f t="shared" si="0"/>
        <v>0.0032</v>
      </c>
      <c r="W17" s="7">
        <f t="shared" si="1"/>
        <v>0.0134</v>
      </c>
      <c r="X17" s="7">
        <f t="shared" si="1"/>
        <v>0.0088</v>
      </c>
      <c r="Y17" s="7">
        <f t="shared" si="1"/>
        <v>6e-5</v>
      </c>
      <c r="Z17" s="7">
        <f t="shared" si="1"/>
        <v>0.004</v>
      </c>
      <c r="AA17" s="7">
        <f t="shared" si="1"/>
        <v>0.1512</v>
      </c>
      <c r="AB17" s="7">
        <f t="shared" si="1"/>
        <v>0.0278</v>
      </c>
      <c r="AC17" s="7">
        <f t="shared" si="1"/>
        <v>0.0024</v>
      </c>
      <c r="AD17" s="7">
        <f t="shared" si="1"/>
        <v>0.0242</v>
      </c>
      <c r="AE17" s="7">
        <f t="shared" si="1"/>
        <v>8e-5</v>
      </c>
      <c r="AF17" s="7">
        <f t="shared" si="1"/>
        <v>0.0146</v>
      </c>
      <c r="AG17" s="7">
        <f t="shared" si="1"/>
        <v>0.0388</v>
      </c>
      <c r="AH17" s="7">
        <f t="shared" si="1"/>
        <v>0.0096</v>
      </c>
      <c r="AI17" s="7">
        <f t="shared" si="1"/>
        <v>0.001</v>
      </c>
      <c r="AJ17" s="7">
        <f t="shared" si="1"/>
        <v>0.0382</v>
      </c>
    </row>
    <row r="18" spans="1:36">
      <c r="A18" t="s">
        <v>306</v>
      </c>
      <c r="B18" t="s">
        <v>307</v>
      </c>
      <c r="C18" t="s">
        <v>243</v>
      </c>
      <c r="D18" t="s">
        <v>308</v>
      </c>
      <c r="K18" t="s">
        <v>305</v>
      </c>
      <c r="L18">
        <v>2022</v>
      </c>
      <c r="M18" s="7">
        <f t="shared" si="0"/>
        <v>0.013</v>
      </c>
      <c r="N18" s="7">
        <f t="shared" si="0"/>
        <v>0.011</v>
      </c>
      <c r="O18" s="7">
        <f t="shared" si="0"/>
        <v>0.064</v>
      </c>
      <c r="P18" s="7">
        <f t="shared" si="0"/>
        <v>0.01</v>
      </c>
      <c r="Q18" s="7">
        <f t="shared" si="0"/>
        <v>1.24</v>
      </c>
      <c r="R18" s="7">
        <f t="shared" si="0"/>
        <v>0.08</v>
      </c>
      <c r="S18" s="7">
        <f t="shared" si="0"/>
        <v>0.166</v>
      </c>
      <c r="T18" s="7">
        <f t="shared" si="0"/>
        <v>0.0026</v>
      </c>
      <c r="U18" s="7">
        <f t="shared" si="0"/>
        <v>0.0022</v>
      </c>
      <c r="V18" s="7">
        <f t="shared" si="0"/>
        <v>0.0102</v>
      </c>
      <c r="W18" s="7">
        <f t="shared" si="1"/>
        <v>0.022</v>
      </c>
      <c r="X18" s="7">
        <f t="shared" si="1"/>
        <v>0.0184</v>
      </c>
      <c r="Y18" s="7">
        <f t="shared" si="1"/>
        <v>0.00012</v>
      </c>
      <c r="Z18" s="7">
        <f t="shared" si="1"/>
        <v>0.008</v>
      </c>
      <c r="AA18" s="7">
        <f t="shared" si="1"/>
        <v>0.2132</v>
      </c>
      <c r="AB18" s="7">
        <f t="shared" si="1"/>
        <v>0.027</v>
      </c>
      <c r="AC18" s="7">
        <f t="shared" si="1"/>
        <v>0.0048</v>
      </c>
      <c r="AD18" s="7">
        <f t="shared" si="1"/>
        <v>0.0314</v>
      </c>
      <c r="AE18" s="7">
        <f t="shared" si="1"/>
        <v>0.00016</v>
      </c>
      <c r="AF18" s="7">
        <f t="shared" si="1"/>
        <v>0.026</v>
      </c>
      <c r="AG18" s="7">
        <f t="shared" si="1"/>
        <v>0.0524</v>
      </c>
      <c r="AH18" s="7">
        <f t="shared" si="1"/>
        <v>0.0124</v>
      </c>
      <c r="AI18" s="7">
        <f t="shared" si="1"/>
        <v>0.007</v>
      </c>
      <c r="AJ18" s="7">
        <f t="shared" si="1"/>
        <v>0.074</v>
      </c>
    </row>
    <row r="19" spans="1:36">
      <c r="A19" t="s">
        <v>309</v>
      </c>
      <c r="B19" t="s">
        <v>9</v>
      </c>
      <c r="C19">
        <v>2019</v>
      </c>
      <c r="D19">
        <v>0.006718</v>
      </c>
      <c r="K19" t="s">
        <v>305</v>
      </c>
      <c r="L19">
        <v>2023</v>
      </c>
      <c r="M19" s="7">
        <f t="shared" si="0"/>
        <v>0.0196</v>
      </c>
      <c r="N19" s="7">
        <f t="shared" si="0"/>
        <v>0.013</v>
      </c>
      <c r="O19" s="7">
        <f t="shared" si="0"/>
        <v>0.0806</v>
      </c>
      <c r="P19" s="7">
        <f t="shared" si="0"/>
        <v>0.0104</v>
      </c>
      <c r="Q19" s="7">
        <f t="shared" si="0"/>
        <v>1.62</v>
      </c>
      <c r="R19" s="7">
        <f t="shared" si="0"/>
        <v>0.094</v>
      </c>
      <c r="S19" s="7">
        <f t="shared" si="0"/>
        <v>0.14</v>
      </c>
      <c r="T19" s="7">
        <f t="shared" si="0"/>
        <v>0.0034</v>
      </c>
      <c r="U19" s="7">
        <f t="shared" si="0"/>
        <v>0.00248</v>
      </c>
      <c r="V19" s="7">
        <f t="shared" si="0"/>
        <v>0.016454</v>
      </c>
      <c r="W19" s="7">
        <f t="shared" si="1"/>
        <v>0.0272</v>
      </c>
      <c r="X19" s="7">
        <f t="shared" si="1"/>
        <v>0.02806</v>
      </c>
      <c r="Y19" s="7">
        <f t="shared" si="1"/>
        <v>0.000184</v>
      </c>
      <c r="Z19" s="7">
        <f t="shared" si="1"/>
        <v>0.013</v>
      </c>
      <c r="AA19" s="7">
        <f t="shared" si="1"/>
        <v>0.31524</v>
      </c>
      <c r="AB19" s="7">
        <f t="shared" si="1"/>
        <v>0.022</v>
      </c>
      <c r="AC19" s="7">
        <f t="shared" si="1"/>
        <v>0.00602</v>
      </c>
      <c r="AD19" s="7">
        <f t="shared" si="1"/>
        <v>0.03486</v>
      </c>
      <c r="AE19" s="7">
        <f t="shared" si="1"/>
        <v>0.000216</v>
      </c>
      <c r="AF19" s="7">
        <f t="shared" si="1"/>
        <v>0.037</v>
      </c>
      <c r="AG19" s="7">
        <f t="shared" si="1"/>
        <v>0.0598</v>
      </c>
      <c r="AH19" s="7">
        <f t="shared" si="1"/>
        <v>0.0152</v>
      </c>
      <c r="AI19" s="7">
        <f t="shared" si="1"/>
        <v>0.01374</v>
      </c>
      <c r="AJ19" s="7">
        <f t="shared" si="1"/>
        <v>0.09</v>
      </c>
    </row>
    <row r="20" spans="1:36">
      <c r="A20" t="s">
        <v>309</v>
      </c>
      <c r="B20" t="s">
        <v>9</v>
      </c>
      <c r="C20">
        <v>2020</v>
      </c>
      <c r="D20">
        <v>0.0069</v>
      </c>
      <c r="K20" t="s">
        <v>305</v>
      </c>
      <c r="L20">
        <v>2024</v>
      </c>
      <c r="M20" s="7">
        <f t="shared" si="0"/>
        <v>0.0182</v>
      </c>
      <c r="N20" s="7">
        <f t="shared" si="0"/>
        <v>0</v>
      </c>
      <c r="O20" s="7">
        <f t="shared" si="0"/>
        <v>0.0264332</v>
      </c>
      <c r="P20" s="7">
        <f t="shared" si="0"/>
        <v>0.025</v>
      </c>
      <c r="Q20" s="7">
        <f t="shared" si="0"/>
        <v>2.24</v>
      </c>
      <c r="R20" s="7">
        <f t="shared" si="0"/>
        <v>0.0582286</v>
      </c>
      <c r="S20" s="7">
        <f t="shared" si="0"/>
        <v>0.0761218</v>
      </c>
      <c r="T20" s="7">
        <f t="shared" si="0"/>
        <v>0</v>
      </c>
      <c r="U20" s="7">
        <f t="shared" si="0"/>
        <v>0</v>
      </c>
      <c r="V20" s="7">
        <f t="shared" si="0"/>
        <v>0</v>
      </c>
      <c r="W20" s="7">
        <f t="shared" si="1"/>
        <v>0.0129966</v>
      </c>
      <c r="X20" s="7">
        <f t="shared" si="1"/>
        <v>0</v>
      </c>
      <c r="Y20" s="7">
        <f t="shared" si="1"/>
        <v>0</v>
      </c>
      <c r="Z20" s="7">
        <f t="shared" si="1"/>
        <v>0</v>
      </c>
      <c r="AA20" s="7">
        <f t="shared" si="1"/>
        <v>0.26</v>
      </c>
      <c r="AB20" s="7">
        <f t="shared" si="1"/>
        <v>0.0228818</v>
      </c>
      <c r="AC20" s="7">
        <f t="shared" si="1"/>
        <v>0</v>
      </c>
      <c r="AD20" s="7">
        <f t="shared" si="1"/>
        <v>0</v>
      </c>
      <c r="AE20" s="7">
        <f t="shared" si="1"/>
        <v>0</v>
      </c>
      <c r="AF20" s="7">
        <f t="shared" si="1"/>
        <v>0</v>
      </c>
      <c r="AG20" s="7">
        <f t="shared" si="1"/>
        <v>0.0188664</v>
      </c>
      <c r="AH20" s="7">
        <f t="shared" si="1"/>
        <v>0</v>
      </c>
      <c r="AI20" s="7">
        <f t="shared" si="1"/>
        <v>0</v>
      </c>
      <c r="AJ20" s="7">
        <f t="shared" si="1"/>
        <v>0.076394</v>
      </c>
    </row>
    <row r="21" spans="1:4">
      <c r="A21" t="s">
        <v>309</v>
      </c>
      <c r="B21" t="s">
        <v>9</v>
      </c>
      <c r="C21">
        <v>2021</v>
      </c>
      <c r="D21">
        <v>0.021</v>
      </c>
    </row>
    <row r="22" spans="1:4">
      <c r="A22" t="s">
        <v>309</v>
      </c>
      <c r="B22" t="s">
        <v>9</v>
      </c>
      <c r="C22">
        <v>2022</v>
      </c>
      <c r="D22">
        <v>0.065</v>
      </c>
    </row>
    <row r="23" spans="1:4">
      <c r="A23" t="s">
        <v>309</v>
      </c>
      <c r="B23" t="s">
        <v>9</v>
      </c>
      <c r="C23">
        <v>2023</v>
      </c>
      <c r="D23">
        <v>0.098</v>
      </c>
    </row>
    <row r="24" spans="1:4">
      <c r="A24" t="s">
        <v>309</v>
      </c>
      <c r="B24" t="s">
        <v>9</v>
      </c>
      <c r="C24">
        <v>2024</v>
      </c>
      <c r="D24">
        <v>0.091</v>
      </c>
    </row>
    <row r="25" spans="1:4">
      <c r="A25" t="s">
        <v>309</v>
      </c>
      <c r="B25" t="s">
        <v>10</v>
      </c>
      <c r="C25">
        <v>2019</v>
      </c>
      <c r="D25">
        <v>0.008</v>
      </c>
    </row>
    <row r="26" spans="1:4">
      <c r="A26" t="s">
        <v>309</v>
      </c>
      <c r="B26" t="s">
        <v>10</v>
      </c>
      <c r="C26">
        <v>2020</v>
      </c>
      <c r="D26">
        <v>0.026</v>
      </c>
    </row>
    <row r="27" spans="1:4">
      <c r="A27" t="s">
        <v>309</v>
      </c>
      <c r="B27" t="s">
        <v>10</v>
      </c>
      <c r="C27">
        <v>2021</v>
      </c>
      <c r="D27">
        <v>0.041</v>
      </c>
    </row>
    <row r="28" spans="1:4">
      <c r="A28" t="s">
        <v>309</v>
      </c>
      <c r="B28" t="s">
        <v>10</v>
      </c>
      <c r="C28">
        <v>2022</v>
      </c>
      <c r="D28">
        <v>0.055</v>
      </c>
    </row>
    <row r="29" spans="1:4">
      <c r="A29" t="s">
        <v>309</v>
      </c>
      <c r="B29" t="s">
        <v>10</v>
      </c>
      <c r="C29">
        <v>2023</v>
      </c>
      <c r="D29">
        <v>0.065</v>
      </c>
    </row>
    <row r="30" spans="1:4">
      <c r="A30" t="s">
        <v>309</v>
      </c>
      <c r="B30" t="s">
        <v>12</v>
      </c>
      <c r="C30">
        <v>2019</v>
      </c>
      <c r="D30">
        <v>0.075</v>
      </c>
    </row>
    <row r="31" spans="1:4">
      <c r="A31" t="s">
        <v>309</v>
      </c>
      <c r="B31" t="s">
        <v>12</v>
      </c>
      <c r="C31">
        <v>2020</v>
      </c>
      <c r="D31">
        <v>0.119</v>
      </c>
    </row>
    <row r="32" spans="1:4">
      <c r="A32" t="s">
        <v>309</v>
      </c>
      <c r="B32" t="s">
        <v>12</v>
      </c>
      <c r="C32">
        <v>2021</v>
      </c>
      <c r="D32">
        <v>0.201</v>
      </c>
    </row>
    <row r="33" spans="1:4">
      <c r="A33" t="s">
        <v>309</v>
      </c>
      <c r="B33" t="s">
        <v>12</v>
      </c>
      <c r="C33">
        <v>2022</v>
      </c>
      <c r="D33">
        <v>0.32</v>
      </c>
    </row>
    <row r="34" spans="1:4">
      <c r="A34" t="s">
        <v>309</v>
      </c>
      <c r="B34" t="s">
        <v>12</v>
      </c>
      <c r="C34">
        <v>2023</v>
      </c>
      <c r="D34">
        <v>0.403</v>
      </c>
    </row>
    <row r="35" spans="1:4">
      <c r="A35" t="s">
        <v>309</v>
      </c>
      <c r="B35" t="s">
        <v>12</v>
      </c>
      <c r="C35">
        <v>2024</v>
      </c>
      <c r="D35">
        <v>0.132166</v>
      </c>
    </row>
    <row r="36" spans="1:4">
      <c r="A36" t="s">
        <v>309</v>
      </c>
      <c r="B36" t="s">
        <v>13</v>
      </c>
      <c r="C36">
        <v>2019</v>
      </c>
      <c r="D36">
        <v>0.001</v>
      </c>
    </row>
    <row r="37" spans="1:4">
      <c r="A37" t="s">
        <v>309</v>
      </c>
      <c r="B37" t="s">
        <v>13</v>
      </c>
      <c r="C37">
        <v>2020</v>
      </c>
      <c r="D37">
        <v>0.019745</v>
      </c>
    </row>
    <row r="38" spans="1:4">
      <c r="A38" t="s">
        <v>309</v>
      </c>
      <c r="B38" t="s">
        <v>13</v>
      </c>
      <c r="C38">
        <v>2021</v>
      </c>
      <c r="D38">
        <v>0.0325</v>
      </c>
    </row>
    <row r="39" spans="1:4">
      <c r="A39" t="s">
        <v>309</v>
      </c>
      <c r="B39" t="s">
        <v>13</v>
      </c>
      <c r="C39">
        <v>2022</v>
      </c>
      <c r="D39">
        <v>0.05</v>
      </c>
    </row>
    <row r="40" spans="1:4">
      <c r="A40" t="s">
        <v>309</v>
      </c>
      <c r="B40" t="s">
        <v>13</v>
      </c>
      <c r="C40">
        <v>2023</v>
      </c>
      <c r="D40">
        <v>0.052</v>
      </c>
    </row>
    <row r="41" spans="1:4">
      <c r="A41" t="s">
        <v>309</v>
      </c>
      <c r="B41" t="s">
        <v>13</v>
      </c>
      <c r="C41">
        <v>2024</v>
      </c>
      <c r="D41">
        <v>0.125</v>
      </c>
    </row>
    <row r="42" spans="1:4">
      <c r="A42" t="s">
        <v>309</v>
      </c>
      <c r="B42" t="s">
        <v>14</v>
      </c>
      <c r="C42">
        <v>2019</v>
      </c>
      <c r="D42">
        <v>1.11</v>
      </c>
    </row>
    <row r="43" spans="1:4">
      <c r="A43" t="s">
        <v>309</v>
      </c>
      <c r="B43" t="s">
        <v>14</v>
      </c>
      <c r="C43">
        <v>2020</v>
      </c>
      <c r="D43">
        <v>1.33</v>
      </c>
    </row>
    <row r="44" spans="1:4">
      <c r="A44" t="s">
        <v>309</v>
      </c>
      <c r="B44" t="s">
        <v>14</v>
      </c>
      <c r="C44">
        <v>2021</v>
      </c>
      <c r="D44">
        <v>3.4</v>
      </c>
    </row>
    <row r="45" spans="1:4">
      <c r="A45" t="s">
        <v>309</v>
      </c>
      <c r="B45" t="s">
        <v>14</v>
      </c>
      <c r="C45">
        <v>2022</v>
      </c>
      <c r="D45">
        <v>6.2</v>
      </c>
    </row>
    <row r="46" spans="1:4">
      <c r="A46" t="s">
        <v>309</v>
      </c>
      <c r="B46" t="s">
        <v>14</v>
      </c>
      <c r="C46">
        <v>2023</v>
      </c>
      <c r="D46">
        <v>8.1</v>
      </c>
    </row>
    <row r="47" spans="1:4">
      <c r="A47" t="s">
        <v>309</v>
      </c>
      <c r="B47" t="s">
        <v>14</v>
      </c>
      <c r="C47">
        <v>2024</v>
      </c>
      <c r="D47">
        <v>11.2</v>
      </c>
    </row>
    <row r="48" spans="1:4">
      <c r="A48" t="s">
        <v>309</v>
      </c>
      <c r="B48" t="s">
        <v>17</v>
      </c>
      <c r="C48">
        <v>2019</v>
      </c>
      <c r="D48">
        <v>0.045</v>
      </c>
    </row>
    <row r="49" spans="1:4">
      <c r="A49" t="s">
        <v>309</v>
      </c>
      <c r="B49" t="s">
        <v>17</v>
      </c>
      <c r="C49">
        <v>2020</v>
      </c>
      <c r="D49">
        <v>0.185</v>
      </c>
    </row>
    <row r="50" spans="1:4">
      <c r="A50" t="s">
        <v>309</v>
      </c>
      <c r="B50" t="s">
        <v>17</v>
      </c>
      <c r="C50">
        <v>2021</v>
      </c>
      <c r="D50">
        <v>0.315</v>
      </c>
    </row>
    <row r="51" spans="1:4">
      <c r="A51" t="s">
        <v>309</v>
      </c>
      <c r="B51" t="s">
        <v>17</v>
      </c>
      <c r="C51">
        <v>2022</v>
      </c>
      <c r="D51">
        <v>0.4</v>
      </c>
    </row>
    <row r="52" spans="1:4">
      <c r="A52" t="s">
        <v>309</v>
      </c>
      <c r="B52" t="s">
        <v>17</v>
      </c>
      <c r="C52">
        <v>2023</v>
      </c>
      <c r="D52">
        <v>0.47</v>
      </c>
    </row>
    <row r="53" spans="1:4">
      <c r="A53" t="s">
        <v>309</v>
      </c>
      <c r="B53" t="s">
        <v>17</v>
      </c>
      <c r="C53">
        <v>2024</v>
      </c>
      <c r="D53">
        <v>0.291143</v>
      </c>
    </row>
    <row r="54" spans="1:4">
      <c r="A54" t="s">
        <v>309</v>
      </c>
      <c r="B54" t="s">
        <v>18</v>
      </c>
      <c r="C54">
        <v>2019</v>
      </c>
      <c r="D54">
        <v>0.075</v>
      </c>
    </row>
    <row r="55" spans="1:4">
      <c r="A55" t="s">
        <v>309</v>
      </c>
      <c r="B55" t="s">
        <v>18</v>
      </c>
      <c r="C55">
        <v>2020</v>
      </c>
      <c r="D55">
        <v>0.398</v>
      </c>
    </row>
    <row r="56" spans="1:4">
      <c r="A56" t="s">
        <v>309</v>
      </c>
      <c r="B56" t="s">
        <v>18</v>
      </c>
      <c r="C56">
        <v>2021</v>
      </c>
      <c r="D56">
        <v>0.681</v>
      </c>
    </row>
    <row r="57" spans="1:4">
      <c r="A57" t="s">
        <v>309</v>
      </c>
      <c r="B57" t="s">
        <v>18</v>
      </c>
      <c r="C57">
        <v>2022</v>
      </c>
      <c r="D57">
        <v>0.83</v>
      </c>
    </row>
    <row r="58" spans="1:4">
      <c r="A58" t="s">
        <v>309</v>
      </c>
      <c r="B58" t="s">
        <v>18</v>
      </c>
      <c r="C58">
        <v>2023</v>
      </c>
      <c r="D58">
        <v>0.7</v>
      </c>
    </row>
    <row r="59" spans="1:4">
      <c r="A59" t="s">
        <v>309</v>
      </c>
      <c r="B59" t="s">
        <v>18</v>
      </c>
      <c r="C59">
        <v>2024</v>
      </c>
      <c r="D59">
        <v>0.380609</v>
      </c>
    </row>
    <row r="60" spans="1:4">
      <c r="A60" t="s">
        <v>309</v>
      </c>
      <c r="B60" t="s">
        <v>19</v>
      </c>
      <c r="C60">
        <v>2019</v>
      </c>
      <c r="D60">
        <v>0.001</v>
      </c>
    </row>
    <row r="61" spans="1:4">
      <c r="A61" t="s">
        <v>309</v>
      </c>
      <c r="B61" t="s">
        <v>19</v>
      </c>
      <c r="C61">
        <v>2020</v>
      </c>
      <c r="D61">
        <v>0.002</v>
      </c>
    </row>
    <row r="62" spans="1:4">
      <c r="A62" t="s">
        <v>309</v>
      </c>
      <c r="B62" t="s">
        <v>19</v>
      </c>
      <c r="C62">
        <v>2021</v>
      </c>
      <c r="D62">
        <v>0.005</v>
      </c>
    </row>
    <row r="63" spans="1:4">
      <c r="A63" t="s">
        <v>309</v>
      </c>
      <c r="B63" t="s">
        <v>19</v>
      </c>
      <c r="C63">
        <v>2022</v>
      </c>
      <c r="D63">
        <v>0.013</v>
      </c>
    </row>
    <row r="64" spans="1:4">
      <c r="A64" t="s">
        <v>309</v>
      </c>
      <c r="B64" t="s">
        <v>19</v>
      </c>
      <c r="C64">
        <v>2023</v>
      </c>
      <c r="D64">
        <v>0.017</v>
      </c>
    </row>
    <row r="65" spans="1:4">
      <c r="A65" t="s">
        <v>309</v>
      </c>
      <c r="B65" t="s">
        <v>21</v>
      </c>
      <c r="C65">
        <v>2019</v>
      </c>
      <c r="D65">
        <v>0.002</v>
      </c>
    </row>
    <row r="66" spans="1:4">
      <c r="A66" t="s">
        <v>309</v>
      </c>
      <c r="B66" t="s">
        <v>21</v>
      </c>
      <c r="C66">
        <v>2020</v>
      </c>
      <c r="D66">
        <v>0.004</v>
      </c>
    </row>
    <row r="67" spans="1:4">
      <c r="A67" t="s">
        <v>309</v>
      </c>
      <c r="B67" t="s">
        <v>21</v>
      </c>
      <c r="C67">
        <v>2021</v>
      </c>
      <c r="D67">
        <v>0.008</v>
      </c>
    </row>
    <row r="68" spans="1:4">
      <c r="A68" t="s">
        <v>309</v>
      </c>
      <c r="B68" t="s">
        <v>21</v>
      </c>
      <c r="C68">
        <v>2022</v>
      </c>
      <c r="D68">
        <v>0.011</v>
      </c>
    </row>
    <row r="69" spans="1:4">
      <c r="A69" t="s">
        <v>309</v>
      </c>
      <c r="B69" t="s">
        <v>21</v>
      </c>
      <c r="C69">
        <v>2023</v>
      </c>
      <c r="D69">
        <v>0.0124</v>
      </c>
    </row>
    <row r="70" spans="1:4">
      <c r="A70" t="s">
        <v>309</v>
      </c>
      <c r="B70" t="s">
        <v>22</v>
      </c>
      <c r="C70">
        <v>2019</v>
      </c>
      <c r="D70">
        <v>0.00156</v>
      </c>
    </row>
    <row r="71" spans="1:4">
      <c r="A71" t="s">
        <v>309</v>
      </c>
      <c r="B71" t="s">
        <v>22</v>
      </c>
      <c r="C71">
        <v>2020</v>
      </c>
      <c r="D71">
        <v>0.005</v>
      </c>
    </row>
    <row r="72" spans="1:4">
      <c r="A72" t="s">
        <v>309</v>
      </c>
      <c r="B72" t="s">
        <v>22</v>
      </c>
      <c r="C72">
        <v>2021</v>
      </c>
      <c r="D72">
        <v>0.016</v>
      </c>
    </row>
    <row r="73" spans="1:4">
      <c r="A73" t="s">
        <v>309</v>
      </c>
      <c r="B73" t="s">
        <v>22</v>
      </c>
      <c r="C73">
        <v>2022</v>
      </c>
      <c r="D73">
        <v>0.051</v>
      </c>
    </row>
    <row r="74" spans="1:4">
      <c r="A74" t="s">
        <v>309</v>
      </c>
      <c r="B74" t="s">
        <v>22</v>
      </c>
      <c r="C74">
        <v>2023</v>
      </c>
      <c r="D74">
        <v>0.08227</v>
      </c>
    </row>
    <row r="75" spans="1:4">
      <c r="A75" t="s">
        <v>309</v>
      </c>
      <c r="B75" t="s">
        <v>24</v>
      </c>
      <c r="C75">
        <v>2019</v>
      </c>
      <c r="D75">
        <v>0.006</v>
      </c>
    </row>
    <row r="76" spans="1:4">
      <c r="A76" t="s">
        <v>309</v>
      </c>
      <c r="B76" t="s">
        <v>24</v>
      </c>
      <c r="C76">
        <v>2020</v>
      </c>
      <c r="D76">
        <v>0.032</v>
      </c>
    </row>
    <row r="77" spans="1:4">
      <c r="A77" t="s">
        <v>309</v>
      </c>
      <c r="B77" t="s">
        <v>24</v>
      </c>
      <c r="C77">
        <v>2021</v>
      </c>
      <c r="D77">
        <v>0.067</v>
      </c>
    </row>
    <row r="78" spans="1:4">
      <c r="A78" t="s">
        <v>309</v>
      </c>
      <c r="B78" t="s">
        <v>24</v>
      </c>
      <c r="C78">
        <v>2022</v>
      </c>
      <c r="D78">
        <v>0.11</v>
      </c>
    </row>
    <row r="79" spans="1:4">
      <c r="A79" t="s">
        <v>309</v>
      </c>
      <c r="B79" t="s">
        <v>24</v>
      </c>
      <c r="C79">
        <v>2023</v>
      </c>
      <c r="D79" s="39">
        <v>0.136</v>
      </c>
    </row>
    <row r="80" spans="1:4">
      <c r="A80" t="s">
        <v>309</v>
      </c>
      <c r="B80" t="s">
        <v>24</v>
      </c>
      <c r="C80">
        <v>2024</v>
      </c>
      <c r="D80">
        <v>0.064983</v>
      </c>
    </row>
    <row r="81" spans="1:4">
      <c r="A81" t="s">
        <v>309</v>
      </c>
      <c r="B81" t="s">
        <v>25</v>
      </c>
      <c r="C81">
        <v>2019</v>
      </c>
      <c r="D81">
        <v>0.022</v>
      </c>
    </row>
    <row r="82" spans="1:4">
      <c r="A82" t="s">
        <v>309</v>
      </c>
      <c r="B82" t="s">
        <v>25</v>
      </c>
      <c r="C82">
        <v>2020</v>
      </c>
      <c r="D82">
        <v>0.029</v>
      </c>
    </row>
    <row r="83" spans="1:4">
      <c r="A83" t="s">
        <v>309</v>
      </c>
      <c r="B83" t="s">
        <v>25</v>
      </c>
      <c r="C83">
        <v>2021</v>
      </c>
      <c r="D83">
        <v>0.044</v>
      </c>
    </row>
    <row r="84" spans="1:4">
      <c r="A84" t="s">
        <v>309</v>
      </c>
      <c r="B84" t="s">
        <v>25</v>
      </c>
      <c r="C84">
        <v>2022</v>
      </c>
      <c r="D84">
        <v>0.092</v>
      </c>
    </row>
    <row r="85" spans="1:4">
      <c r="A85" t="s">
        <v>309</v>
      </c>
      <c r="B85" t="s">
        <v>25</v>
      </c>
      <c r="C85">
        <v>2023</v>
      </c>
      <c r="D85">
        <v>0.1403</v>
      </c>
    </row>
    <row r="86" spans="1:4">
      <c r="A86" t="s">
        <v>309</v>
      </c>
      <c r="B86" t="s">
        <v>26</v>
      </c>
      <c r="C86">
        <v>2019</v>
      </c>
      <c r="D86" s="39">
        <v>5e-5</v>
      </c>
    </row>
    <row r="87" spans="1:4">
      <c r="A87" t="s">
        <v>309</v>
      </c>
      <c r="B87" t="s">
        <v>26</v>
      </c>
      <c r="C87">
        <v>2020</v>
      </c>
      <c r="D87">
        <v>0.0001</v>
      </c>
    </row>
    <row r="88" spans="1:4">
      <c r="A88" t="s">
        <v>309</v>
      </c>
      <c r="B88" t="s">
        <v>26</v>
      </c>
      <c r="C88">
        <v>2021</v>
      </c>
      <c r="D88">
        <v>0.0003</v>
      </c>
    </row>
    <row r="89" spans="1:4">
      <c r="A89" t="s">
        <v>309</v>
      </c>
      <c r="B89" t="s">
        <v>26</v>
      </c>
      <c r="C89">
        <v>2022</v>
      </c>
      <c r="D89">
        <v>0.0006</v>
      </c>
    </row>
    <row r="90" spans="1:4">
      <c r="A90" t="s">
        <v>309</v>
      </c>
      <c r="B90" t="s">
        <v>26</v>
      </c>
      <c r="C90">
        <v>2023</v>
      </c>
      <c r="D90">
        <v>0.00092</v>
      </c>
    </row>
    <row r="91" spans="1:4">
      <c r="A91" t="s">
        <v>309</v>
      </c>
      <c r="B91" t="s">
        <v>27</v>
      </c>
      <c r="C91">
        <v>2019</v>
      </c>
      <c r="D91">
        <v>0.0025</v>
      </c>
    </row>
    <row r="92" spans="1:4">
      <c r="A92" t="s">
        <v>309</v>
      </c>
      <c r="B92" t="s">
        <v>27</v>
      </c>
      <c r="C92">
        <v>2020</v>
      </c>
      <c r="D92">
        <v>0.008</v>
      </c>
    </row>
    <row r="93" spans="1:4">
      <c r="A93" t="s">
        <v>309</v>
      </c>
      <c r="B93" t="s">
        <v>27</v>
      </c>
      <c r="C93">
        <v>2021</v>
      </c>
      <c r="D93">
        <v>0.02</v>
      </c>
    </row>
    <row r="94" spans="1:4">
      <c r="A94" t="s">
        <v>309</v>
      </c>
      <c r="B94" t="s">
        <v>27</v>
      </c>
      <c r="C94">
        <v>2022</v>
      </c>
      <c r="D94">
        <v>0.04</v>
      </c>
    </row>
    <row r="95" spans="1:4">
      <c r="A95" t="s">
        <v>309</v>
      </c>
      <c r="B95" t="s">
        <v>27</v>
      </c>
      <c r="C95">
        <v>2023</v>
      </c>
      <c r="D95">
        <v>0.065</v>
      </c>
    </row>
    <row r="96" spans="1:4">
      <c r="A96" t="s">
        <v>309</v>
      </c>
      <c r="B96" t="s">
        <v>28</v>
      </c>
      <c r="C96">
        <v>2019</v>
      </c>
      <c r="D96">
        <v>0.3882</v>
      </c>
    </row>
    <row r="97" spans="1:4">
      <c r="A97" t="s">
        <v>309</v>
      </c>
      <c r="B97" t="s">
        <v>28</v>
      </c>
      <c r="C97">
        <v>2020</v>
      </c>
      <c r="D97">
        <v>0.38</v>
      </c>
    </row>
    <row r="98" spans="1:4">
      <c r="A98" t="s">
        <v>309</v>
      </c>
      <c r="B98" t="s">
        <v>28</v>
      </c>
      <c r="C98">
        <v>2021</v>
      </c>
      <c r="D98">
        <v>0.756</v>
      </c>
    </row>
    <row r="99" spans="1:4">
      <c r="A99" t="s">
        <v>309</v>
      </c>
      <c r="B99" t="s">
        <v>28</v>
      </c>
      <c r="C99">
        <v>2022</v>
      </c>
      <c r="D99">
        <v>1.066</v>
      </c>
    </row>
    <row r="100" spans="1:4">
      <c r="A100" t="s">
        <v>309</v>
      </c>
      <c r="B100" t="s">
        <v>28</v>
      </c>
      <c r="C100">
        <v>2023</v>
      </c>
      <c r="D100">
        <v>1.5762</v>
      </c>
    </row>
    <row r="101" spans="1:4">
      <c r="A101" t="s">
        <v>309</v>
      </c>
      <c r="B101" t="s">
        <v>28</v>
      </c>
      <c r="C101">
        <v>2024</v>
      </c>
      <c r="D101">
        <v>1.3</v>
      </c>
    </row>
    <row r="102" spans="1:4">
      <c r="A102" t="s">
        <v>309</v>
      </c>
      <c r="B102" t="s">
        <v>29</v>
      </c>
      <c r="C102">
        <v>2019</v>
      </c>
      <c r="D102">
        <v>0.060316</v>
      </c>
    </row>
    <row r="103" spans="1:4">
      <c r="A103" t="s">
        <v>309</v>
      </c>
      <c r="B103" t="s">
        <v>29</v>
      </c>
      <c r="C103">
        <v>2020</v>
      </c>
      <c r="D103">
        <v>0.106</v>
      </c>
    </row>
    <row r="104" spans="1:4">
      <c r="A104" t="s">
        <v>309</v>
      </c>
      <c r="B104" t="s">
        <v>29</v>
      </c>
      <c r="C104">
        <v>2021</v>
      </c>
      <c r="D104">
        <v>0.139</v>
      </c>
    </row>
    <row r="105" spans="1:4">
      <c r="A105" t="s">
        <v>309</v>
      </c>
      <c r="B105" t="s">
        <v>29</v>
      </c>
      <c r="C105">
        <v>2022</v>
      </c>
      <c r="D105">
        <v>0.135</v>
      </c>
    </row>
    <row r="106" spans="1:4">
      <c r="A106" t="s">
        <v>309</v>
      </c>
      <c r="B106" t="s">
        <v>29</v>
      </c>
      <c r="C106">
        <v>2023</v>
      </c>
      <c r="D106">
        <v>0.11</v>
      </c>
    </row>
    <row r="107" spans="1:4">
      <c r="A107" t="s">
        <v>309</v>
      </c>
      <c r="B107" t="s">
        <v>29</v>
      </c>
      <c r="C107">
        <v>2024</v>
      </c>
      <c r="D107">
        <v>0.114409</v>
      </c>
    </row>
    <row r="108" spans="1:4">
      <c r="A108" t="s">
        <v>309</v>
      </c>
      <c r="B108" t="s">
        <v>30</v>
      </c>
      <c r="C108">
        <v>2019</v>
      </c>
      <c r="D108">
        <v>0.002</v>
      </c>
    </row>
    <row r="109" spans="1:4">
      <c r="A109" t="s">
        <v>309</v>
      </c>
      <c r="B109" t="s">
        <v>30</v>
      </c>
      <c r="C109">
        <v>2020</v>
      </c>
      <c r="D109">
        <v>0.008</v>
      </c>
    </row>
    <row r="110" spans="1:4">
      <c r="A110" t="s">
        <v>309</v>
      </c>
      <c r="B110" t="s">
        <v>30</v>
      </c>
      <c r="C110">
        <v>2021</v>
      </c>
      <c r="D110">
        <v>0.012</v>
      </c>
    </row>
    <row r="111" spans="1:4">
      <c r="A111" t="s">
        <v>309</v>
      </c>
      <c r="B111" t="s">
        <v>30</v>
      </c>
      <c r="C111">
        <v>2022</v>
      </c>
      <c r="D111">
        <v>0.024</v>
      </c>
    </row>
    <row r="112" spans="1:4">
      <c r="A112" t="s">
        <v>309</v>
      </c>
      <c r="B112" t="s">
        <v>30</v>
      </c>
      <c r="C112">
        <v>2023</v>
      </c>
      <c r="D112">
        <v>0.0301</v>
      </c>
    </row>
    <row r="113" spans="1:4">
      <c r="A113" t="s">
        <v>309</v>
      </c>
      <c r="B113" t="s">
        <v>31</v>
      </c>
      <c r="C113">
        <v>2019</v>
      </c>
      <c r="D113">
        <v>0.0096</v>
      </c>
    </row>
    <row r="114" spans="1:4">
      <c r="A114" t="s">
        <v>309</v>
      </c>
      <c r="B114" t="s">
        <v>31</v>
      </c>
      <c r="C114">
        <v>2020</v>
      </c>
      <c r="D114">
        <v>0.033</v>
      </c>
    </row>
    <row r="115" spans="1:4">
      <c r="A115" t="s">
        <v>309</v>
      </c>
      <c r="B115" t="s">
        <v>31</v>
      </c>
      <c r="C115">
        <v>2021</v>
      </c>
      <c r="D115">
        <v>0.121</v>
      </c>
    </row>
    <row r="116" spans="1:4">
      <c r="A116" t="s">
        <v>309</v>
      </c>
      <c r="B116" t="s">
        <v>31</v>
      </c>
      <c r="C116">
        <v>2022</v>
      </c>
      <c r="D116">
        <v>0.157</v>
      </c>
    </row>
    <row r="117" spans="1:4">
      <c r="A117" t="s">
        <v>309</v>
      </c>
      <c r="B117" t="s">
        <v>31</v>
      </c>
      <c r="C117">
        <v>2023</v>
      </c>
      <c r="D117">
        <v>0.1743</v>
      </c>
    </row>
    <row r="118" spans="1:4">
      <c r="A118" t="s">
        <v>309</v>
      </c>
      <c r="B118" t="s">
        <v>34</v>
      </c>
      <c r="C118">
        <v>2019</v>
      </c>
      <c r="D118">
        <v>0.0001</v>
      </c>
    </row>
    <row r="119" spans="1:4">
      <c r="A119" t="s">
        <v>309</v>
      </c>
      <c r="B119" t="s">
        <v>34</v>
      </c>
      <c r="C119">
        <v>2020</v>
      </c>
      <c r="D119">
        <v>0.0002</v>
      </c>
    </row>
    <row r="120" spans="1:4">
      <c r="A120" t="s">
        <v>309</v>
      </c>
      <c r="B120" t="s">
        <v>34</v>
      </c>
      <c r="C120">
        <v>2021</v>
      </c>
      <c r="D120">
        <v>0.0004</v>
      </c>
    </row>
    <row r="121" spans="1:4">
      <c r="A121" t="s">
        <v>309</v>
      </c>
      <c r="B121" t="s">
        <v>34</v>
      </c>
      <c r="C121">
        <v>2022</v>
      </c>
      <c r="D121">
        <v>0.0008</v>
      </c>
    </row>
    <row r="122" spans="1:4">
      <c r="A122" t="s">
        <v>309</v>
      </c>
      <c r="B122" t="s">
        <v>34</v>
      </c>
      <c r="C122">
        <v>2023</v>
      </c>
      <c r="D122">
        <v>0.00108</v>
      </c>
    </row>
    <row r="123" spans="1:4">
      <c r="A123" t="s">
        <v>309</v>
      </c>
      <c r="B123" t="s">
        <v>35</v>
      </c>
      <c r="C123">
        <v>2019</v>
      </c>
      <c r="D123">
        <v>0.0085</v>
      </c>
    </row>
    <row r="124" spans="1:4">
      <c r="A124" t="s">
        <v>309</v>
      </c>
      <c r="B124" t="s">
        <v>35</v>
      </c>
      <c r="C124">
        <v>2020</v>
      </c>
      <c r="D124">
        <v>0.033</v>
      </c>
    </row>
    <row r="125" spans="1:4">
      <c r="A125" t="s">
        <v>309</v>
      </c>
      <c r="B125" t="s">
        <v>35</v>
      </c>
      <c r="C125">
        <v>2021</v>
      </c>
      <c r="D125">
        <v>0.073</v>
      </c>
    </row>
    <row r="126" spans="1:4">
      <c r="A126" t="s">
        <v>309</v>
      </c>
      <c r="B126" t="s">
        <v>35</v>
      </c>
      <c r="C126">
        <v>2022</v>
      </c>
      <c r="D126">
        <v>0.13</v>
      </c>
    </row>
    <row r="127" spans="1:4">
      <c r="A127" t="s">
        <v>309</v>
      </c>
      <c r="B127" t="s">
        <v>35</v>
      </c>
      <c r="C127">
        <v>2023</v>
      </c>
      <c r="D127">
        <v>0.185</v>
      </c>
    </row>
    <row r="128" spans="1:4">
      <c r="A128" t="s">
        <v>309</v>
      </c>
      <c r="B128" t="s">
        <v>36</v>
      </c>
      <c r="C128">
        <v>2019</v>
      </c>
      <c r="D128">
        <v>0.04</v>
      </c>
    </row>
    <row r="129" spans="1:4">
      <c r="A129" t="s">
        <v>309</v>
      </c>
      <c r="B129" t="s">
        <v>36</v>
      </c>
      <c r="C129">
        <v>2020</v>
      </c>
      <c r="D129">
        <v>0.122</v>
      </c>
    </row>
    <row r="130" spans="1:4">
      <c r="A130" t="s">
        <v>309</v>
      </c>
      <c r="B130" t="s">
        <v>36</v>
      </c>
      <c r="C130">
        <v>2021</v>
      </c>
      <c r="D130">
        <v>0.194</v>
      </c>
    </row>
    <row r="131" spans="1:4">
      <c r="A131" t="s">
        <v>309</v>
      </c>
      <c r="B131" t="s">
        <v>36</v>
      </c>
      <c r="C131">
        <v>2022</v>
      </c>
      <c r="D131">
        <v>0.262</v>
      </c>
    </row>
    <row r="132" spans="1:4">
      <c r="A132" t="s">
        <v>309</v>
      </c>
      <c r="B132" t="s">
        <v>36</v>
      </c>
      <c r="C132">
        <v>2023</v>
      </c>
      <c r="D132">
        <v>0.299</v>
      </c>
    </row>
    <row r="133" spans="1:4">
      <c r="A133" t="s">
        <v>309</v>
      </c>
      <c r="B133" t="s">
        <v>36</v>
      </c>
      <c r="C133">
        <v>2024</v>
      </c>
      <c r="D133">
        <v>0.094332</v>
      </c>
    </row>
    <row r="134" spans="1:4">
      <c r="A134" t="s">
        <v>309</v>
      </c>
      <c r="B134" t="s">
        <v>37</v>
      </c>
      <c r="C134">
        <v>2019</v>
      </c>
      <c r="D134">
        <v>0.0085</v>
      </c>
    </row>
    <row r="135" spans="1:4">
      <c r="A135" t="s">
        <v>309</v>
      </c>
      <c r="B135" t="s">
        <v>37</v>
      </c>
      <c r="C135">
        <v>2020</v>
      </c>
      <c r="D135">
        <v>0.028</v>
      </c>
    </row>
    <row r="136" spans="1:4">
      <c r="A136" t="s">
        <v>309</v>
      </c>
      <c r="B136" t="s">
        <v>37</v>
      </c>
      <c r="C136">
        <v>2021</v>
      </c>
      <c r="D136">
        <v>0.048</v>
      </c>
    </row>
    <row r="137" spans="1:4">
      <c r="A137" t="s">
        <v>309</v>
      </c>
      <c r="B137" t="s">
        <v>37</v>
      </c>
      <c r="C137">
        <v>2022</v>
      </c>
      <c r="D137">
        <v>0.062</v>
      </c>
    </row>
    <row r="138" spans="1:4">
      <c r="A138" t="s">
        <v>309</v>
      </c>
      <c r="B138" t="s">
        <v>37</v>
      </c>
      <c r="C138">
        <v>2023</v>
      </c>
      <c r="D138">
        <v>0.076</v>
      </c>
    </row>
    <row r="139" spans="1:4">
      <c r="A139" t="s">
        <v>309</v>
      </c>
      <c r="B139" t="s">
        <v>38</v>
      </c>
      <c r="C139">
        <v>2019</v>
      </c>
      <c r="D139">
        <v>0.001</v>
      </c>
    </row>
    <row r="140" spans="1:4">
      <c r="A140" t="s">
        <v>309</v>
      </c>
      <c r="B140" t="s">
        <v>38</v>
      </c>
      <c r="C140">
        <v>2020</v>
      </c>
      <c r="D140">
        <v>0.002</v>
      </c>
    </row>
    <row r="141" spans="1:4">
      <c r="A141" t="s">
        <v>309</v>
      </c>
      <c r="B141" t="s">
        <v>38</v>
      </c>
      <c r="C141">
        <v>2021</v>
      </c>
      <c r="D141">
        <v>0.005</v>
      </c>
    </row>
    <row r="142" spans="1:4">
      <c r="A142" t="s">
        <v>309</v>
      </c>
      <c r="B142" t="s">
        <v>38</v>
      </c>
      <c r="C142">
        <v>2022</v>
      </c>
      <c r="D142">
        <v>0.035</v>
      </c>
    </row>
    <row r="143" spans="1:4">
      <c r="A143" t="s">
        <v>309</v>
      </c>
      <c r="B143" t="s">
        <v>38</v>
      </c>
      <c r="C143">
        <v>2023</v>
      </c>
      <c r="D143">
        <v>0.0687</v>
      </c>
    </row>
    <row r="144" spans="1:4">
      <c r="A144" t="s">
        <v>309</v>
      </c>
      <c r="B144" t="s">
        <v>39</v>
      </c>
      <c r="C144">
        <v>2019</v>
      </c>
      <c r="D144">
        <v>0.038</v>
      </c>
    </row>
    <row r="145" spans="1:4">
      <c r="A145" t="s">
        <v>309</v>
      </c>
      <c r="B145" t="s">
        <v>39</v>
      </c>
      <c r="C145">
        <v>2020</v>
      </c>
      <c r="D145">
        <v>0.176</v>
      </c>
    </row>
    <row r="146" spans="1:4">
      <c r="A146" t="s">
        <v>309</v>
      </c>
      <c r="B146" t="s">
        <v>39</v>
      </c>
      <c r="C146">
        <v>2021</v>
      </c>
      <c r="D146">
        <v>0.191</v>
      </c>
    </row>
    <row r="147" spans="1:4">
      <c r="A147" t="s">
        <v>309</v>
      </c>
      <c r="B147" t="s">
        <v>39</v>
      </c>
      <c r="C147">
        <v>2022</v>
      </c>
      <c r="D147">
        <v>0.37</v>
      </c>
    </row>
    <row r="148" spans="1:4">
      <c r="A148" t="s">
        <v>309</v>
      </c>
      <c r="B148" t="s">
        <v>39</v>
      </c>
      <c r="C148">
        <v>2023</v>
      </c>
      <c r="D148">
        <v>0.45</v>
      </c>
    </row>
    <row r="149" spans="1:4">
      <c r="A149" t="s">
        <v>309</v>
      </c>
      <c r="B149" t="s">
        <v>39</v>
      </c>
      <c r="C149">
        <v>2024</v>
      </c>
      <c r="D149">
        <v>0.38197</v>
      </c>
    </row>
    <row r="150" spans="1:4">
      <c r="A150" t="s">
        <v>310</v>
      </c>
      <c r="B150" t="s">
        <v>9</v>
      </c>
      <c r="C150">
        <v>2018</v>
      </c>
      <c r="D150">
        <v>0.015</v>
      </c>
    </row>
    <row r="151" spans="1:4">
      <c r="A151" t="s">
        <v>310</v>
      </c>
      <c r="B151" t="s">
        <v>10</v>
      </c>
      <c r="C151">
        <v>2018</v>
      </c>
      <c r="D151">
        <v>0.03</v>
      </c>
    </row>
    <row r="152" spans="1:4">
      <c r="A152" t="s">
        <v>310</v>
      </c>
      <c r="B152" t="s">
        <v>12</v>
      </c>
      <c r="C152">
        <v>2018</v>
      </c>
      <c r="D152">
        <v>0.16</v>
      </c>
    </row>
    <row r="153" spans="1:4">
      <c r="A153" t="s">
        <v>310</v>
      </c>
      <c r="B153" t="s">
        <v>13</v>
      </c>
      <c r="C153">
        <v>2018</v>
      </c>
      <c r="D153">
        <v>0.008</v>
      </c>
    </row>
    <row r="154" spans="1:4">
      <c r="A154" t="s">
        <v>310</v>
      </c>
      <c r="B154" t="s">
        <v>14</v>
      </c>
      <c r="C154">
        <v>2018</v>
      </c>
      <c r="D154">
        <v>2.6</v>
      </c>
    </row>
    <row r="155" spans="1:4">
      <c r="A155" t="s">
        <v>310</v>
      </c>
      <c r="B155" t="s">
        <v>17</v>
      </c>
      <c r="C155">
        <v>2018</v>
      </c>
      <c r="D155">
        <v>0.15</v>
      </c>
    </row>
    <row r="156" spans="1:4">
      <c r="A156" t="s">
        <v>310</v>
      </c>
      <c r="B156" t="s">
        <v>18</v>
      </c>
      <c r="C156">
        <v>2018</v>
      </c>
      <c r="D156">
        <v>0.2</v>
      </c>
    </row>
    <row r="157" spans="1:4">
      <c r="A157" t="s">
        <v>310</v>
      </c>
      <c r="B157" t="s">
        <v>19</v>
      </c>
      <c r="C157">
        <v>2018</v>
      </c>
      <c r="D157">
        <v>0.003</v>
      </c>
    </row>
    <row r="158" spans="1:4">
      <c r="A158" t="s">
        <v>310</v>
      </c>
      <c r="B158" t="s">
        <v>21</v>
      </c>
      <c r="C158">
        <v>2018</v>
      </c>
      <c r="D158">
        <v>0.008</v>
      </c>
    </row>
    <row r="159" spans="1:4">
      <c r="A159" t="s">
        <v>310</v>
      </c>
      <c r="B159" t="s">
        <v>22</v>
      </c>
      <c r="C159">
        <v>2018</v>
      </c>
      <c r="D159">
        <v>0.008</v>
      </c>
    </row>
    <row r="160" spans="1:4">
      <c r="A160" t="s">
        <v>310</v>
      </c>
      <c r="B160" t="s">
        <v>24</v>
      </c>
      <c r="C160">
        <v>2018</v>
      </c>
      <c r="D160">
        <v>0.025</v>
      </c>
    </row>
    <row r="161" spans="1:4">
      <c r="A161" t="s">
        <v>310</v>
      </c>
      <c r="B161" t="s">
        <v>25</v>
      </c>
      <c r="C161">
        <v>2018</v>
      </c>
      <c r="D161">
        <v>0.06</v>
      </c>
    </row>
    <row r="162" spans="1:4">
      <c r="A162" t="s">
        <v>310</v>
      </c>
      <c r="B162" t="s">
        <v>26</v>
      </c>
      <c r="C162">
        <v>2018</v>
      </c>
      <c r="D162">
        <v>0.0003</v>
      </c>
    </row>
    <row r="163" spans="1:4">
      <c r="A163" t="s">
        <v>310</v>
      </c>
      <c r="B163" t="s">
        <v>27</v>
      </c>
      <c r="C163">
        <v>2018</v>
      </c>
      <c r="D163">
        <v>0.008</v>
      </c>
    </row>
    <row r="164" spans="1:4">
      <c r="A164" t="s">
        <v>310</v>
      </c>
      <c r="B164" t="s">
        <v>28</v>
      </c>
      <c r="C164">
        <v>2018</v>
      </c>
      <c r="D164">
        <v>1.0715</v>
      </c>
    </row>
    <row r="165" spans="1:4">
      <c r="A165" t="s">
        <v>310</v>
      </c>
      <c r="B165" t="s">
        <v>29</v>
      </c>
      <c r="C165">
        <v>2018</v>
      </c>
      <c r="D165">
        <v>0.2</v>
      </c>
    </row>
    <row r="166" spans="1:4">
      <c r="A166" t="s">
        <v>310</v>
      </c>
      <c r="B166" t="s">
        <v>30</v>
      </c>
      <c r="C166">
        <v>2018</v>
      </c>
      <c r="D166">
        <v>0.008</v>
      </c>
    </row>
    <row r="167" spans="1:4">
      <c r="A167" t="s">
        <v>310</v>
      </c>
      <c r="B167" t="s">
        <v>31</v>
      </c>
      <c r="C167">
        <v>2018</v>
      </c>
      <c r="D167">
        <v>0.058</v>
      </c>
    </row>
    <row r="168" spans="1:4">
      <c r="A168" t="s">
        <v>310</v>
      </c>
      <c r="B168" t="s">
        <v>34</v>
      </c>
      <c r="C168">
        <v>2018</v>
      </c>
      <c r="D168">
        <v>0.0005</v>
      </c>
    </row>
    <row r="169" spans="1:4">
      <c r="A169" t="s">
        <v>310</v>
      </c>
      <c r="B169" t="s">
        <v>35</v>
      </c>
      <c r="C169">
        <v>2018</v>
      </c>
      <c r="D169">
        <v>0.035</v>
      </c>
    </row>
    <row r="170" spans="1:4">
      <c r="A170" t="s">
        <v>310</v>
      </c>
      <c r="B170" t="s">
        <v>36</v>
      </c>
      <c r="C170">
        <v>2018</v>
      </c>
      <c r="D170">
        <v>0.117</v>
      </c>
    </row>
    <row r="171" spans="1:4">
      <c r="A171" t="s">
        <v>310</v>
      </c>
      <c r="B171" t="s">
        <v>37</v>
      </c>
      <c r="C171">
        <v>2018</v>
      </c>
      <c r="D171">
        <v>0.035</v>
      </c>
    </row>
    <row r="172" spans="1:4">
      <c r="A172" t="s">
        <v>310</v>
      </c>
      <c r="B172" t="s">
        <v>38</v>
      </c>
      <c r="C172">
        <v>2018</v>
      </c>
      <c r="D172">
        <v>0.003</v>
      </c>
    </row>
    <row r="173" spans="1:4">
      <c r="A173" t="s">
        <v>310</v>
      </c>
      <c r="B173" t="s">
        <v>39</v>
      </c>
      <c r="C173">
        <v>2018</v>
      </c>
      <c r="D173">
        <v>0.13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38"/>
  <sheetViews>
    <sheetView zoomScale="57" zoomScaleNormal="57" workbookViewId="0">
      <selection activeCell="Z32" sqref="Z32"/>
    </sheetView>
  </sheetViews>
  <sheetFormatPr defaultColWidth="9.13636363636364" defaultRowHeight="12.5"/>
  <cols>
    <col min="1" max="1" width="9.13636363636364" style="35"/>
    <col min="2" max="2" width="30.2636363636364" style="35" customWidth="1"/>
    <col min="3" max="3" width="9" style="35" customWidth="1"/>
    <col min="4" max="4" width="5" style="35" customWidth="1"/>
    <col min="5" max="5" width="10.6" style="35" customWidth="1"/>
    <col min="6" max="6" width="11.6" style="35" customWidth="1"/>
    <col min="7" max="7" width="11.4" style="35" customWidth="1"/>
    <col min="8" max="8" width="11.7272727272727" style="35" customWidth="1"/>
    <col min="9" max="9" width="20.1363636363636" style="35" customWidth="1"/>
    <col min="10" max="10" width="11" style="35" customWidth="1"/>
    <col min="11" max="11" width="11.8636363636364" style="35" customWidth="1"/>
    <col min="12" max="12" width="16.6" style="35" customWidth="1"/>
    <col min="13" max="13" width="12.6" style="35" customWidth="1"/>
    <col min="14" max="14" width="18" style="35" customWidth="1"/>
    <col min="15" max="16" width="9.13636363636364" style="35"/>
    <col min="17" max="17" width="43.7272727272727" style="35" customWidth="1"/>
    <col min="18" max="22" width="9.13636363636364" style="35"/>
    <col min="23" max="23" width="9.86363636363636" style="35" customWidth="1"/>
    <col min="24" max="94" width="9.13636363636364" style="35"/>
    <col min="95" max="121" width="7" style="35" customWidth="1"/>
    <col min="122" max="122" width="7.86363636363636" style="35" customWidth="1"/>
    <col min="123" max="134" width="7" style="35" customWidth="1"/>
    <col min="135" max="16384" width="9.13636363636364" style="35"/>
  </cols>
  <sheetData>
    <row r="1" ht="14.5" spans="2:2">
      <c r="B1" s="11" t="e">
        <f>VLOOKUP(P1,$Q$4:$R$33,2,FALSE)</f>
        <v>#N/A</v>
      </c>
    </row>
    <row r="3" spans="2:24">
      <c r="B3" s="35" t="s">
        <v>311</v>
      </c>
      <c r="X3" s="35" t="s">
        <v>312</v>
      </c>
    </row>
    <row r="4" ht="14.5" spans="1:29">
      <c r="A4" s="35" t="s">
        <v>313</v>
      </c>
      <c r="B4" s="35" t="s">
        <v>314</v>
      </c>
      <c r="C4" s="35" t="s">
        <v>73</v>
      </c>
      <c r="D4" s="35" t="s">
        <v>57</v>
      </c>
      <c r="E4" s="35" t="s">
        <v>315</v>
      </c>
      <c r="F4" s="35" t="s">
        <v>316</v>
      </c>
      <c r="G4" s="35" t="s">
        <v>317</v>
      </c>
      <c r="H4" s="35" t="s">
        <v>318</v>
      </c>
      <c r="I4" s="35" t="s">
        <v>319</v>
      </c>
      <c r="J4" s="35" t="s">
        <v>320</v>
      </c>
      <c r="K4" s="35" t="s">
        <v>321</v>
      </c>
      <c r="L4" s="35" t="s">
        <v>322</v>
      </c>
      <c r="M4" s="35" t="s">
        <v>323</v>
      </c>
      <c r="N4" s="35" t="s">
        <v>324</v>
      </c>
      <c r="Q4" s="12" t="s">
        <v>325</v>
      </c>
      <c r="R4" s="35" t="s">
        <v>326</v>
      </c>
      <c r="X4" s="35" t="s">
        <v>73</v>
      </c>
      <c r="Y4" s="35" t="s">
        <v>267</v>
      </c>
      <c r="Z4" s="35" t="s">
        <v>5</v>
      </c>
      <c r="AA4" s="35" t="s">
        <v>75</v>
      </c>
      <c r="AC4" s="37" t="s">
        <v>327</v>
      </c>
    </row>
    <row r="5" ht="14.5" spans="1:27">
      <c r="A5" s="35" t="s">
        <v>328</v>
      </c>
      <c r="B5" s="12" t="str">
        <f>VLOOKUP(P5,$Q$4:$R$33,2,FALSE)</f>
        <v>\I: EN_Bioenergy - Cofiring</v>
      </c>
      <c r="C5" s="35" t="s">
        <v>329</v>
      </c>
      <c r="D5" s="35">
        <v>2022</v>
      </c>
      <c r="F5" s="35">
        <v>0.37</v>
      </c>
      <c r="G5" s="35">
        <v>0.37</v>
      </c>
      <c r="H5" s="35">
        <v>0.37</v>
      </c>
      <c r="I5" s="35">
        <v>0.37</v>
      </c>
      <c r="J5" s="35">
        <v>0.37</v>
      </c>
      <c r="K5" s="35">
        <v>0.37</v>
      </c>
      <c r="L5" s="35">
        <v>0.37</v>
      </c>
      <c r="M5" s="35">
        <v>0.37</v>
      </c>
      <c r="N5" s="35">
        <v>0.37</v>
      </c>
      <c r="P5" s="35" t="s">
        <v>325</v>
      </c>
      <c r="Q5" s="12" t="s">
        <v>330</v>
      </c>
      <c r="R5" s="35" t="s">
        <v>330</v>
      </c>
      <c r="X5" s="35" t="s">
        <v>82</v>
      </c>
      <c r="Y5" s="52" t="s">
        <v>331</v>
      </c>
      <c r="Z5" s="35" t="s">
        <v>332</v>
      </c>
      <c r="AA5" s="35">
        <v>2150</v>
      </c>
    </row>
    <row r="6" ht="14.5" spans="1:18">
      <c r="A6" s="35" t="s">
        <v>328</v>
      </c>
      <c r="B6" s="12" t="str">
        <f>VLOOKUP(P6,$Q$4:$R$33,2,FALSE)</f>
        <v>\I: EN_Bioenergy - Cofiring</v>
      </c>
      <c r="C6" s="35" t="s">
        <v>329</v>
      </c>
      <c r="D6" s="35">
        <v>2030</v>
      </c>
      <c r="F6" s="35">
        <v>0.37</v>
      </c>
      <c r="G6" s="35">
        <v>0.37</v>
      </c>
      <c r="H6" s="35">
        <v>0.37</v>
      </c>
      <c r="I6" s="35">
        <v>0.37</v>
      </c>
      <c r="J6" s="35">
        <v>0.37</v>
      </c>
      <c r="K6" s="35">
        <v>0.37</v>
      </c>
      <c r="L6" s="35">
        <v>0.37</v>
      </c>
      <c r="M6" s="35">
        <v>0.37</v>
      </c>
      <c r="N6" s="35">
        <v>0.37</v>
      </c>
      <c r="P6" s="35" t="s">
        <v>325</v>
      </c>
      <c r="Q6" s="12" t="s">
        <v>333</v>
      </c>
      <c r="R6" s="35" t="s">
        <v>334</v>
      </c>
    </row>
    <row r="7" ht="14.5" spans="1:25">
      <c r="A7" s="35" t="s">
        <v>328</v>
      </c>
      <c r="B7" s="12" t="str">
        <f t="shared" ref="B7:B70" si="0">VLOOKUP(P7,$Q$4:$R$33,2,FALSE)</f>
        <v>\I: EN_Bioenergy - Cofiring</v>
      </c>
      <c r="C7" s="35" t="s">
        <v>329</v>
      </c>
      <c r="D7" s="35">
        <v>2050</v>
      </c>
      <c r="F7" s="35">
        <v>0.37</v>
      </c>
      <c r="G7" s="35">
        <v>0.37</v>
      </c>
      <c r="H7" s="35">
        <v>0.37</v>
      </c>
      <c r="I7" s="35">
        <v>0.37</v>
      </c>
      <c r="J7" s="35">
        <v>0.37</v>
      </c>
      <c r="K7" s="35">
        <v>0.37</v>
      </c>
      <c r="L7" s="35">
        <v>0.37</v>
      </c>
      <c r="M7" s="35">
        <v>0.37</v>
      </c>
      <c r="N7" s="35">
        <v>0.37</v>
      </c>
      <c r="P7" s="35" t="s">
        <v>325</v>
      </c>
      <c r="Q7" s="12" t="s">
        <v>335</v>
      </c>
      <c r="R7" s="35" t="s">
        <v>335</v>
      </c>
      <c r="Y7" s="38"/>
    </row>
    <row r="8" ht="14.5" spans="1:18">
      <c r="A8" s="35" t="s">
        <v>328</v>
      </c>
      <c r="B8" s="12" t="str">
        <f t="shared" si="0"/>
        <v>\I: EN_Bioenergy - Cofiring</v>
      </c>
      <c r="C8" s="35" t="s">
        <v>336</v>
      </c>
      <c r="D8" s="35">
        <v>2022</v>
      </c>
      <c r="F8" s="35">
        <v>20</v>
      </c>
      <c r="G8" s="35">
        <v>20</v>
      </c>
      <c r="H8" s="35">
        <v>15</v>
      </c>
      <c r="I8" s="35">
        <v>25</v>
      </c>
      <c r="J8" s="35">
        <v>20</v>
      </c>
      <c r="K8" s="35">
        <v>25</v>
      </c>
      <c r="L8" s="35">
        <v>20</v>
      </c>
      <c r="M8" s="35">
        <v>20</v>
      </c>
      <c r="N8" s="35">
        <v>25</v>
      </c>
      <c r="P8" s="35" t="s">
        <v>325</v>
      </c>
      <c r="Q8" s="12" t="s">
        <v>337</v>
      </c>
      <c r="R8" s="35" t="s">
        <v>337</v>
      </c>
    </row>
    <row r="9" ht="14.5" spans="1:18">
      <c r="A9" s="35" t="s">
        <v>328</v>
      </c>
      <c r="B9" s="12" t="str">
        <f t="shared" si="0"/>
        <v>\I: EN_Bioenergy - Cofiring</v>
      </c>
      <c r="C9" s="35" t="s">
        <v>336</v>
      </c>
      <c r="D9" s="35">
        <v>2030</v>
      </c>
      <c r="F9" s="35">
        <v>20</v>
      </c>
      <c r="G9" s="35">
        <v>20</v>
      </c>
      <c r="H9" s="35">
        <v>15</v>
      </c>
      <c r="I9" s="35">
        <v>20</v>
      </c>
      <c r="J9" s="35">
        <v>20</v>
      </c>
      <c r="K9" s="35">
        <v>20</v>
      </c>
      <c r="L9" s="35">
        <v>20</v>
      </c>
      <c r="M9" s="35">
        <v>20</v>
      </c>
      <c r="N9" s="35">
        <v>25</v>
      </c>
      <c r="P9" s="35" t="s">
        <v>325</v>
      </c>
      <c r="Q9" s="12" t="s">
        <v>338</v>
      </c>
      <c r="R9" s="35" t="s">
        <v>339</v>
      </c>
    </row>
    <row r="10" ht="14.5" spans="1:18">
      <c r="A10" s="35" t="s">
        <v>328</v>
      </c>
      <c r="B10" s="12" t="str">
        <f t="shared" si="0"/>
        <v>\I: EN_Bioenergy - Cofiring</v>
      </c>
      <c r="C10" s="35" t="s">
        <v>336</v>
      </c>
      <c r="D10" s="35">
        <v>2050</v>
      </c>
      <c r="F10" s="35">
        <v>20</v>
      </c>
      <c r="G10" s="35">
        <v>20</v>
      </c>
      <c r="H10" s="35">
        <v>15</v>
      </c>
      <c r="I10" s="35">
        <v>20</v>
      </c>
      <c r="J10" s="35">
        <v>20</v>
      </c>
      <c r="K10" s="35">
        <v>20</v>
      </c>
      <c r="L10" s="35">
        <v>20</v>
      </c>
      <c r="M10" s="35">
        <v>20</v>
      </c>
      <c r="N10" s="35">
        <v>25</v>
      </c>
      <c r="P10" s="35" t="s">
        <v>325</v>
      </c>
      <c r="Q10" s="12" t="s">
        <v>340</v>
      </c>
      <c r="R10" s="35" t="s">
        <v>340</v>
      </c>
    </row>
    <row r="11" ht="14.5" spans="1:18">
      <c r="A11" s="35" t="s">
        <v>328</v>
      </c>
      <c r="B11" s="12" t="str">
        <f t="shared" si="0"/>
        <v>\I: EN_Bioenergy - Cofiring</v>
      </c>
      <c r="C11" s="35" t="s">
        <v>107</v>
      </c>
      <c r="D11" s="35">
        <v>2022</v>
      </c>
      <c r="F11" s="35">
        <v>525</v>
      </c>
      <c r="G11" s="35">
        <v>550</v>
      </c>
      <c r="H11" s="35">
        <v>400</v>
      </c>
      <c r="I11" s="35">
        <v>600</v>
      </c>
      <c r="J11" s="35">
        <v>550</v>
      </c>
      <c r="K11" s="35">
        <v>600</v>
      </c>
      <c r="L11" s="35">
        <v>575</v>
      </c>
      <c r="M11" s="35">
        <v>575</v>
      </c>
      <c r="N11" s="35">
        <v>625</v>
      </c>
      <c r="P11" s="35" t="s">
        <v>325</v>
      </c>
      <c r="Q11" s="12" t="s">
        <v>341</v>
      </c>
      <c r="R11" s="35" t="s">
        <v>341</v>
      </c>
    </row>
    <row r="12" ht="14.5" spans="1:18">
      <c r="A12" s="35" t="s">
        <v>328</v>
      </c>
      <c r="B12" s="12" t="str">
        <f t="shared" si="0"/>
        <v>\I: EN_Bioenergy - Cofiring</v>
      </c>
      <c r="C12" s="35" t="s">
        <v>107</v>
      </c>
      <c r="D12" s="35">
        <v>2030</v>
      </c>
      <c r="F12" s="35">
        <v>500</v>
      </c>
      <c r="G12" s="35">
        <v>550</v>
      </c>
      <c r="H12" s="35">
        <v>400</v>
      </c>
      <c r="I12" s="35">
        <v>575</v>
      </c>
      <c r="J12" s="35">
        <v>550</v>
      </c>
      <c r="K12" s="35">
        <v>575</v>
      </c>
      <c r="L12" s="35">
        <v>550</v>
      </c>
      <c r="M12" s="35">
        <v>550</v>
      </c>
      <c r="N12" s="35">
        <v>625</v>
      </c>
      <c r="P12" s="35" t="s">
        <v>325</v>
      </c>
      <c r="Q12" s="12" t="s">
        <v>342</v>
      </c>
      <c r="R12" s="35" t="s">
        <v>343</v>
      </c>
    </row>
    <row r="13" ht="14.5" spans="1:18">
      <c r="A13" s="35" t="s">
        <v>328</v>
      </c>
      <c r="B13" s="12" t="str">
        <f t="shared" si="0"/>
        <v>\I: EN_Bioenergy - Cofiring</v>
      </c>
      <c r="C13" s="35" t="s">
        <v>107</v>
      </c>
      <c r="D13" s="35">
        <v>2050</v>
      </c>
      <c r="F13" s="35">
        <v>500</v>
      </c>
      <c r="G13" s="35">
        <v>525</v>
      </c>
      <c r="H13" s="35">
        <v>375</v>
      </c>
      <c r="I13" s="35">
        <v>575</v>
      </c>
      <c r="J13" s="35">
        <v>525</v>
      </c>
      <c r="K13" s="35">
        <v>575</v>
      </c>
      <c r="L13" s="35">
        <v>525</v>
      </c>
      <c r="M13" s="35">
        <v>525</v>
      </c>
      <c r="N13" s="35">
        <v>600</v>
      </c>
      <c r="P13" s="35" t="s">
        <v>325</v>
      </c>
      <c r="Q13" s="12" t="s">
        <v>344</v>
      </c>
      <c r="R13" s="35" t="s">
        <v>345</v>
      </c>
    </row>
    <row r="14" ht="14.5" spans="1:18">
      <c r="A14" s="35" t="s">
        <v>328</v>
      </c>
      <c r="B14" s="12" t="str">
        <f t="shared" si="0"/>
        <v>EN_Bioenergy - Large scale unit</v>
      </c>
      <c r="C14" s="35" t="s">
        <v>329</v>
      </c>
      <c r="D14" s="35">
        <v>2022</v>
      </c>
      <c r="F14" s="35">
        <v>0.35</v>
      </c>
      <c r="G14" s="35">
        <v>0.35</v>
      </c>
      <c r="H14" s="35">
        <v>0.35</v>
      </c>
      <c r="I14" s="35">
        <v>0.35</v>
      </c>
      <c r="J14" s="35">
        <v>0.35</v>
      </c>
      <c r="K14" s="35">
        <v>0.35</v>
      </c>
      <c r="L14" s="35">
        <v>0.35</v>
      </c>
      <c r="M14" s="35">
        <v>0.35</v>
      </c>
      <c r="N14" s="35">
        <v>0.35</v>
      </c>
      <c r="P14" s="35" t="s">
        <v>330</v>
      </c>
      <c r="Q14" s="12" t="s">
        <v>346</v>
      </c>
      <c r="R14" s="35" t="s">
        <v>346</v>
      </c>
    </row>
    <row r="15" ht="14.5" spans="1:18">
      <c r="A15" s="35" t="s">
        <v>328</v>
      </c>
      <c r="B15" s="12" t="str">
        <f t="shared" si="0"/>
        <v>EN_Bioenergy - Large scale unit</v>
      </c>
      <c r="C15" s="35" t="s">
        <v>329</v>
      </c>
      <c r="D15" s="35">
        <v>2030</v>
      </c>
      <c r="F15" s="35">
        <v>0.35</v>
      </c>
      <c r="G15" s="35">
        <v>0.35</v>
      </c>
      <c r="H15" s="35">
        <v>0.35</v>
      </c>
      <c r="I15" s="35">
        <v>0.35</v>
      </c>
      <c r="J15" s="35">
        <v>0.35</v>
      </c>
      <c r="K15" s="35">
        <v>0.35</v>
      </c>
      <c r="L15" s="35">
        <v>0.35</v>
      </c>
      <c r="M15" s="35">
        <v>0.35</v>
      </c>
      <c r="N15" s="35">
        <v>0.35</v>
      </c>
      <c r="P15" s="35" t="s">
        <v>330</v>
      </c>
      <c r="Q15" s="12" t="s">
        <v>347</v>
      </c>
      <c r="R15" s="35" t="s">
        <v>347</v>
      </c>
    </row>
    <row r="16" ht="14.5" spans="1:18">
      <c r="A16" s="35" t="s">
        <v>328</v>
      </c>
      <c r="B16" s="12" t="str">
        <f t="shared" si="0"/>
        <v>EN_Bioenergy - Large scale unit</v>
      </c>
      <c r="C16" s="35" t="s">
        <v>329</v>
      </c>
      <c r="D16" s="35">
        <v>2050</v>
      </c>
      <c r="F16" s="35">
        <v>0.35</v>
      </c>
      <c r="G16" s="35">
        <v>0.35</v>
      </c>
      <c r="H16" s="35">
        <v>0.35</v>
      </c>
      <c r="I16" s="35">
        <v>0.35</v>
      </c>
      <c r="J16" s="35">
        <v>0.35</v>
      </c>
      <c r="K16" s="35">
        <v>0.35</v>
      </c>
      <c r="L16" s="35">
        <v>0.35</v>
      </c>
      <c r="M16" s="35">
        <v>0.35</v>
      </c>
      <c r="N16" s="35">
        <v>0.35</v>
      </c>
      <c r="P16" s="35" t="s">
        <v>330</v>
      </c>
      <c r="Q16" s="12" t="s">
        <v>348</v>
      </c>
      <c r="R16" s="36" t="s">
        <v>349</v>
      </c>
    </row>
    <row r="17" ht="14.5" spans="1:18">
      <c r="A17" s="35" t="s">
        <v>328</v>
      </c>
      <c r="B17" s="12" t="str">
        <f t="shared" si="0"/>
        <v>EN_Bioenergy - Large scale unit</v>
      </c>
      <c r="C17" s="35" t="s">
        <v>336</v>
      </c>
      <c r="D17" s="35">
        <v>2022</v>
      </c>
      <c r="F17" s="35">
        <v>75</v>
      </c>
      <c r="G17" s="35">
        <v>75</v>
      </c>
      <c r="H17" s="35">
        <v>55</v>
      </c>
      <c r="I17" s="35">
        <v>85</v>
      </c>
      <c r="J17" s="35">
        <v>75</v>
      </c>
      <c r="K17" s="35">
        <v>75</v>
      </c>
      <c r="L17" s="35">
        <v>80</v>
      </c>
      <c r="M17" s="35">
        <v>80</v>
      </c>
      <c r="N17" s="35">
        <v>85</v>
      </c>
      <c r="P17" s="35" t="s">
        <v>330</v>
      </c>
      <c r="Q17" s="12" t="s">
        <v>350</v>
      </c>
      <c r="R17" s="35" t="s">
        <v>351</v>
      </c>
    </row>
    <row r="18" ht="14.5" spans="1:18">
      <c r="A18" s="35" t="s">
        <v>328</v>
      </c>
      <c r="B18" s="12" t="str">
        <f t="shared" si="0"/>
        <v>EN_Bioenergy - Large scale unit</v>
      </c>
      <c r="C18" s="35" t="s">
        <v>336</v>
      </c>
      <c r="D18" s="35">
        <v>2030</v>
      </c>
      <c r="F18" s="35">
        <v>75</v>
      </c>
      <c r="G18" s="35">
        <v>75</v>
      </c>
      <c r="H18" s="35">
        <v>55</v>
      </c>
      <c r="I18" s="35">
        <v>80</v>
      </c>
      <c r="J18" s="35">
        <v>75</v>
      </c>
      <c r="K18" s="35">
        <v>80</v>
      </c>
      <c r="L18" s="35">
        <v>75</v>
      </c>
      <c r="M18" s="35">
        <v>75</v>
      </c>
      <c r="N18" s="35">
        <v>85</v>
      </c>
      <c r="P18" s="35" t="s">
        <v>330</v>
      </c>
      <c r="Q18" s="12" t="s">
        <v>352</v>
      </c>
      <c r="R18" s="35" t="s">
        <v>352</v>
      </c>
    </row>
    <row r="19" ht="14.5" spans="1:18">
      <c r="A19" s="35" t="s">
        <v>328</v>
      </c>
      <c r="B19" s="12" t="str">
        <f t="shared" si="0"/>
        <v>EN_Bioenergy - Large scale unit</v>
      </c>
      <c r="C19" s="35" t="s">
        <v>336</v>
      </c>
      <c r="D19" s="35">
        <v>2050</v>
      </c>
      <c r="F19" s="35">
        <v>70</v>
      </c>
      <c r="G19" s="35">
        <v>75</v>
      </c>
      <c r="H19" s="35">
        <v>55</v>
      </c>
      <c r="I19" s="35">
        <v>80</v>
      </c>
      <c r="J19" s="35">
        <v>70</v>
      </c>
      <c r="K19" s="35">
        <v>80</v>
      </c>
      <c r="L19" s="35">
        <v>75</v>
      </c>
      <c r="M19" s="35">
        <v>75</v>
      </c>
      <c r="N19" s="35">
        <v>85</v>
      </c>
      <c r="P19" s="35" t="s">
        <v>330</v>
      </c>
      <c r="Q19" s="12" t="s">
        <v>353</v>
      </c>
      <c r="R19" s="35" t="s">
        <v>353</v>
      </c>
    </row>
    <row r="20" ht="14.5" spans="1:18">
      <c r="A20" s="35" t="s">
        <v>328</v>
      </c>
      <c r="B20" s="12" t="str">
        <f t="shared" si="0"/>
        <v>EN_Bioenergy - Large scale unit</v>
      </c>
      <c r="C20" s="35" t="s">
        <v>107</v>
      </c>
      <c r="D20" s="35">
        <v>2022</v>
      </c>
      <c r="F20" s="35">
        <v>2150</v>
      </c>
      <c r="G20" s="35">
        <v>2200</v>
      </c>
      <c r="H20" s="35">
        <v>1600</v>
      </c>
      <c r="I20" s="35">
        <v>2400</v>
      </c>
      <c r="J20" s="35">
        <v>2150</v>
      </c>
      <c r="K20" s="35">
        <v>2350</v>
      </c>
      <c r="L20" s="35">
        <v>2300</v>
      </c>
      <c r="M20" s="35">
        <v>2250</v>
      </c>
      <c r="N20" s="35">
        <v>2500</v>
      </c>
      <c r="P20" s="35" t="s">
        <v>330</v>
      </c>
      <c r="Q20" s="12" t="s">
        <v>354</v>
      </c>
      <c r="R20" s="35" t="s">
        <v>354</v>
      </c>
    </row>
    <row r="21" ht="14.5" spans="1:18">
      <c r="A21" s="35" t="s">
        <v>328</v>
      </c>
      <c r="B21" s="12" t="str">
        <f t="shared" si="0"/>
        <v>EN_Bioenergy - Large scale unit</v>
      </c>
      <c r="C21" s="35" t="s">
        <v>107</v>
      </c>
      <c r="D21" s="35">
        <v>2030</v>
      </c>
      <c r="F21" s="35">
        <v>2100</v>
      </c>
      <c r="G21" s="35">
        <v>2150</v>
      </c>
      <c r="H21" s="35">
        <v>1550</v>
      </c>
      <c r="I21" s="35">
        <v>2350</v>
      </c>
      <c r="J21" s="35">
        <v>2100</v>
      </c>
      <c r="K21" s="35">
        <v>2300</v>
      </c>
      <c r="L21" s="35">
        <v>2200</v>
      </c>
      <c r="M21" s="35">
        <v>2200</v>
      </c>
      <c r="N21" s="35">
        <v>2450</v>
      </c>
      <c r="P21" s="35" t="s">
        <v>330</v>
      </c>
      <c r="Q21" s="12" t="s">
        <v>355</v>
      </c>
      <c r="R21" s="35" t="s">
        <v>355</v>
      </c>
    </row>
    <row r="22" ht="14.5" spans="1:18">
      <c r="A22" s="35" t="s">
        <v>328</v>
      </c>
      <c r="B22" s="12" t="str">
        <f t="shared" si="0"/>
        <v>EN_Bioenergy - Large scale unit</v>
      </c>
      <c r="C22" s="35" t="s">
        <v>107</v>
      </c>
      <c r="D22" s="35">
        <v>2050</v>
      </c>
      <c r="F22" s="35">
        <v>2000</v>
      </c>
      <c r="G22" s="35">
        <v>2100</v>
      </c>
      <c r="H22" s="35">
        <v>1500</v>
      </c>
      <c r="I22" s="35">
        <v>2300</v>
      </c>
      <c r="J22" s="35">
        <v>2050</v>
      </c>
      <c r="K22" s="35">
        <v>2250</v>
      </c>
      <c r="L22" s="35">
        <v>2100</v>
      </c>
      <c r="M22" s="35">
        <v>2100</v>
      </c>
      <c r="N22" s="35">
        <v>2350</v>
      </c>
      <c r="P22" s="35" t="s">
        <v>330</v>
      </c>
      <c r="Q22" s="12" t="s">
        <v>356</v>
      </c>
      <c r="R22" s="35" t="s">
        <v>357</v>
      </c>
    </row>
    <row r="23" ht="14.5" spans="1:18">
      <c r="A23" s="35" t="s">
        <v>328</v>
      </c>
      <c r="B23" s="12" t="str">
        <f t="shared" si="0"/>
        <v>\I: EN_Bioenergy - Medium-scale CHP</v>
      </c>
      <c r="C23" s="35" t="s">
        <v>329</v>
      </c>
      <c r="D23" s="35">
        <v>2022</v>
      </c>
      <c r="F23" s="35">
        <v>0.7</v>
      </c>
      <c r="G23" s="35">
        <v>0.7</v>
      </c>
      <c r="H23" s="35">
        <v>0.7</v>
      </c>
      <c r="I23" s="35">
        <v>0.7</v>
      </c>
      <c r="J23" s="35">
        <v>0.7</v>
      </c>
      <c r="K23" s="35">
        <v>0.7</v>
      </c>
      <c r="L23" s="35">
        <v>0.7</v>
      </c>
      <c r="M23" s="35">
        <v>0.7</v>
      </c>
      <c r="N23" s="35">
        <v>0.7</v>
      </c>
      <c r="P23" s="35" t="s">
        <v>333</v>
      </c>
      <c r="Q23" s="12" t="s">
        <v>358</v>
      </c>
      <c r="R23" s="36" t="s">
        <v>359</v>
      </c>
    </row>
    <row r="24" ht="14.5" spans="1:18">
      <c r="A24" s="35" t="s">
        <v>328</v>
      </c>
      <c r="B24" s="12" t="str">
        <f t="shared" si="0"/>
        <v>\I: EN_Bioenergy - Medium-scale CHP</v>
      </c>
      <c r="C24" s="35" t="s">
        <v>329</v>
      </c>
      <c r="D24" s="35">
        <v>2030</v>
      </c>
      <c r="F24" s="35">
        <v>0.7</v>
      </c>
      <c r="G24" s="35">
        <v>0.7</v>
      </c>
      <c r="H24" s="35">
        <v>0.7</v>
      </c>
      <c r="I24" s="35">
        <v>0.7</v>
      </c>
      <c r="J24" s="35">
        <v>0.7</v>
      </c>
      <c r="K24" s="35">
        <v>0.7</v>
      </c>
      <c r="L24" s="35">
        <v>0.7</v>
      </c>
      <c r="M24" s="35">
        <v>0.7</v>
      </c>
      <c r="N24" s="35">
        <v>0.7</v>
      </c>
      <c r="P24" s="35" t="s">
        <v>333</v>
      </c>
      <c r="Q24" s="12" t="s">
        <v>360</v>
      </c>
      <c r="R24" s="35" t="s">
        <v>360</v>
      </c>
    </row>
    <row r="25" ht="14.5" spans="1:18">
      <c r="A25" s="35" t="s">
        <v>328</v>
      </c>
      <c r="B25" s="12" t="str">
        <f t="shared" si="0"/>
        <v>\I: EN_Bioenergy - Medium-scale CHP</v>
      </c>
      <c r="C25" s="35" t="s">
        <v>329</v>
      </c>
      <c r="D25" s="35">
        <v>2050</v>
      </c>
      <c r="F25" s="35">
        <v>0.7</v>
      </c>
      <c r="G25" s="35">
        <v>0.7</v>
      </c>
      <c r="H25" s="35">
        <v>0.7</v>
      </c>
      <c r="I25" s="35">
        <v>0.7</v>
      </c>
      <c r="J25" s="35">
        <v>0.7</v>
      </c>
      <c r="K25" s="35">
        <v>0.7</v>
      </c>
      <c r="L25" s="35">
        <v>0.7</v>
      </c>
      <c r="M25" s="35">
        <v>0.7</v>
      </c>
      <c r="N25" s="35">
        <v>0.7</v>
      </c>
      <c r="P25" s="35" t="s">
        <v>333</v>
      </c>
      <c r="Q25" s="12" t="s">
        <v>361</v>
      </c>
      <c r="R25" s="35" t="s">
        <v>361</v>
      </c>
    </row>
    <row r="26" ht="14.5" spans="1:18">
      <c r="A26" s="35" t="s">
        <v>328</v>
      </c>
      <c r="B26" s="12" t="str">
        <f t="shared" si="0"/>
        <v>\I: EN_Bioenergy - Medium-scale CHP</v>
      </c>
      <c r="C26" s="35" t="s">
        <v>336</v>
      </c>
      <c r="D26" s="35">
        <v>2022</v>
      </c>
      <c r="F26" s="35">
        <v>105</v>
      </c>
      <c r="G26" s="35">
        <v>110</v>
      </c>
      <c r="H26" s="35">
        <v>95</v>
      </c>
      <c r="I26" s="35">
        <v>140</v>
      </c>
      <c r="J26" s="35">
        <v>105</v>
      </c>
      <c r="K26" s="35">
        <v>145</v>
      </c>
      <c r="L26" s="35">
        <v>110</v>
      </c>
      <c r="M26" s="35">
        <v>130</v>
      </c>
      <c r="N26" s="35">
        <v>150</v>
      </c>
      <c r="P26" s="35" t="s">
        <v>333</v>
      </c>
      <c r="Q26" s="12" t="s">
        <v>362</v>
      </c>
      <c r="R26" s="35" t="s">
        <v>362</v>
      </c>
    </row>
    <row r="27" ht="14.5" spans="1:18">
      <c r="A27" s="35" t="s">
        <v>328</v>
      </c>
      <c r="B27" s="12" t="str">
        <f t="shared" si="0"/>
        <v>\I: EN_Bioenergy - Medium-scale CHP</v>
      </c>
      <c r="C27" s="35" t="s">
        <v>336</v>
      </c>
      <c r="D27" s="35">
        <v>2030</v>
      </c>
      <c r="F27" s="35">
        <v>105</v>
      </c>
      <c r="G27" s="35">
        <v>105</v>
      </c>
      <c r="H27" s="35">
        <v>90</v>
      </c>
      <c r="I27" s="35">
        <v>140</v>
      </c>
      <c r="J27" s="35">
        <v>105</v>
      </c>
      <c r="K27" s="35">
        <v>145</v>
      </c>
      <c r="L27" s="35">
        <v>105</v>
      </c>
      <c r="M27" s="35">
        <v>130</v>
      </c>
      <c r="N27" s="35">
        <v>150</v>
      </c>
      <c r="P27" s="35" t="s">
        <v>333</v>
      </c>
      <c r="Q27" s="12" t="s">
        <v>363</v>
      </c>
      <c r="R27" s="36" t="s">
        <v>364</v>
      </c>
    </row>
    <row r="28" ht="14.5" spans="1:18">
      <c r="A28" s="35" t="s">
        <v>328</v>
      </c>
      <c r="B28" s="12" t="str">
        <f t="shared" si="0"/>
        <v>\I: EN_Bioenergy - Medium-scale CHP</v>
      </c>
      <c r="C28" s="35" t="s">
        <v>336</v>
      </c>
      <c r="D28" s="35">
        <v>2050</v>
      </c>
      <c r="F28" s="35">
        <v>100</v>
      </c>
      <c r="G28" s="35">
        <v>105</v>
      </c>
      <c r="H28" s="35">
        <v>90</v>
      </c>
      <c r="I28" s="35">
        <v>130</v>
      </c>
      <c r="J28" s="35">
        <v>100</v>
      </c>
      <c r="K28" s="35">
        <v>140</v>
      </c>
      <c r="L28" s="35">
        <v>100</v>
      </c>
      <c r="M28" s="35">
        <v>120</v>
      </c>
      <c r="N28" s="35">
        <v>145</v>
      </c>
      <c r="P28" s="35" t="s">
        <v>333</v>
      </c>
      <c r="Q28" s="12" t="s">
        <v>365</v>
      </c>
      <c r="R28" s="36" t="s">
        <v>366</v>
      </c>
    </row>
    <row r="29" ht="14.5" spans="1:18">
      <c r="A29" s="35" t="s">
        <v>328</v>
      </c>
      <c r="B29" s="12" t="str">
        <f t="shared" si="0"/>
        <v>\I: EN_Bioenergy - Medium-scale CHP</v>
      </c>
      <c r="C29" s="35" t="s">
        <v>107</v>
      </c>
      <c r="D29" s="35">
        <v>2022</v>
      </c>
      <c r="F29" s="35">
        <v>2850</v>
      </c>
      <c r="G29" s="35">
        <v>2900</v>
      </c>
      <c r="H29" s="35">
        <v>2500</v>
      </c>
      <c r="I29" s="35">
        <v>3750</v>
      </c>
      <c r="J29" s="35">
        <v>2800</v>
      </c>
      <c r="K29" s="35">
        <v>3900</v>
      </c>
      <c r="L29" s="35">
        <v>2950</v>
      </c>
      <c r="M29" s="35">
        <v>3500</v>
      </c>
      <c r="N29" s="35">
        <v>4050</v>
      </c>
      <c r="P29" s="35" t="s">
        <v>333</v>
      </c>
      <c r="Q29" s="35" t="s">
        <v>367</v>
      </c>
      <c r="R29" s="35" t="s">
        <v>368</v>
      </c>
    </row>
    <row r="30" ht="14.5" spans="1:16">
      <c r="A30" s="35" t="s">
        <v>328</v>
      </c>
      <c r="B30" s="12" t="str">
        <f t="shared" si="0"/>
        <v>\I: EN_Bioenergy - Medium-scale CHP</v>
      </c>
      <c r="C30" s="35" t="s">
        <v>107</v>
      </c>
      <c r="D30" s="35">
        <v>2030</v>
      </c>
      <c r="F30" s="35">
        <v>2750</v>
      </c>
      <c r="G30" s="35">
        <v>2850</v>
      </c>
      <c r="H30" s="35">
        <v>2450</v>
      </c>
      <c r="I30" s="35">
        <v>3650</v>
      </c>
      <c r="J30" s="35">
        <v>2750</v>
      </c>
      <c r="K30" s="35">
        <v>3800</v>
      </c>
      <c r="L30" s="35">
        <v>2850</v>
      </c>
      <c r="M30" s="35">
        <v>3400</v>
      </c>
      <c r="N30" s="35">
        <v>3950</v>
      </c>
      <c r="P30" s="35" t="s">
        <v>333</v>
      </c>
    </row>
    <row r="31" ht="14.5" spans="1:18">
      <c r="A31" s="35" t="s">
        <v>328</v>
      </c>
      <c r="B31" s="12" t="str">
        <f t="shared" si="0"/>
        <v>\I: EN_Bioenergy - Medium-scale CHP</v>
      </c>
      <c r="C31" s="35" t="s">
        <v>107</v>
      </c>
      <c r="D31" s="35">
        <v>2050</v>
      </c>
      <c r="F31" s="35">
        <v>2650</v>
      </c>
      <c r="G31" s="35">
        <v>2750</v>
      </c>
      <c r="H31" s="35">
        <v>2350</v>
      </c>
      <c r="I31" s="35">
        <v>3550</v>
      </c>
      <c r="J31" s="35">
        <v>2650</v>
      </c>
      <c r="K31" s="35">
        <v>3700</v>
      </c>
      <c r="L31" s="35">
        <v>2700</v>
      </c>
      <c r="M31" s="35">
        <v>3250</v>
      </c>
      <c r="N31" s="35">
        <v>3850</v>
      </c>
      <c r="P31" s="35" t="s">
        <v>333</v>
      </c>
      <c r="Q31" s="12" t="s">
        <v>369</v>
      </c>
      <c r="R31" s="12" t="s">
        <v>359</v>
      </c>
    </row>
    <row r="32" ht="14.5" spans="1:18">
      <c r="A32" s="35" t="s">
        <v>328</v>
      </c>
      <c r="B32" s="12" t="str">
        <f t="shared" si="0"/>
        <v>EN_Bioenergy + CCUS</v>
      </c>
      <c r="C32" s="35" t="s">
        <v>329</v>
      </c>
      <c r="D32" s="35">
        <v>2022</v>
      </c>
      <c r="F32" s="35">
        <v>0.3</v>
      </c>
      <c r="G32" s="35">
        <v>0.3</v>
      </c>
      <c r="H32" s="35">
        <v>0.3</v>
      </c>
      <c r="I32" s="35">
        <v>0.3</v>
      </c>
      <c r="J32" s="35">
        <v>0.3</v>
      </c>
      <c r="K32" s="35">
        <v>0.3</v>
      </c>
      <c r="L32" s="35">
        <v>0.3</v>
      </c>
      <c r="M32" s="35">
        <v>0.3</v>
      </c>
      <c r="N32" s="35">
        <v>0.3</v>
      </c>
      <c r="P32" s="35" t="s">
        <v>335</v>
      </c>
      <c r="Q32" s="12" t="s">
        <v>370</v>
      </c>
      <c r="R32" s="12" t="s">
        <v>364</v>
      </c>
    </row>
    <row r="33" ht="14.5" spans="1:18">
      <c r="A33" s="35" t="s">
        <v>328</v>
      </c>
      <c r="B33" s="12" t="str">
        <f t="shared" si="0"/>
        <v>EN_Bioenergy + CCUS</v>
      </c>
      <c r="C33" s="35" t="s">
        <v>329</v>
      </c>
      <c r="D33" s="35">
        <v>2030</v>
      </c>
      <c r="F33" s="35">
        <v>0.3</v>
      </c>
      <c r="G33" s="35">
        <v>0.3</v>
      </c>
      <c r="H33" s="35">
        <v>0.3</v>
      </c>
      <c r="I33" s="35">
        <v>0.3</v>
      </c>
      <c r="J33" s="35">
        <v>0.3</v>
      </c>
      <c r="K33" s="35">
        <v>0.3</v>
      </c>
      <c r="L33" s="35">
        <v>0.3</v>
      </c>
      <c r="M33" s="35">
        <v>0.3</v>
      </c>
      <c r="N33" s="35">
        <v>0.3</v>
      </c>
      <c r="P33" s="35" t="s">
        <v>335</v>
      </c>
      <c r="Q33" s="12" t="s">
        <v>371</v>
      </c>
      <c r="R33" s="12" t="s">
        <v>366</v>
      </c>
    </row>
    <row r="34" ht="14.5" spans="1:17">
      <c r="A34" s="35" t="s">
        <v>328</v>
      </c>
      <c r="B34" s="12" t="str">
        <f t="shared" si="0"/>
        <v>EN_Bioenergy + CCUS</v>
      </c>
      <c r="C34" s="35" t="s">
        <v>329</v>
      </c>
      <c r="D34" s="35">
        <v>2050</v>
      </c>
      <c r="F34" s="35">
        <v>0.3</v>
      </c>
      <c r="G34" s="35">
        <v>0.3</v>
      </c>
      <c r="H34" s="35">
        <v>0.3</v>
      </c>
      <c r="I34" s="35">
        <v>0.3</v>
      </c>
      <c r="J34" s="35">
        <v>0.3</v>
      </c>
      <c r="K34" s="35">
        <v>0.3</v>
      </c>
      <c r="L34" s="35">
        <v>0.3</v>
      </c>
      <c r="M34" s="35">
        <v>0.3</v>
      </c>
      <c r="N34" s="35">
        <v>0.3</v>
      </c>
      <c r="P34" s="35" t="s">
        <v>335</v>
      </c>
      <c r="Q34"/>
    </row>
    <row r="35" ht="14.5" spans="1:17">
      <c r="A35" s="35" t="s">
        <v>328</v>
      </c>
      <c r="B35" s="12" t="str">
        <f t="shared" si="0"/>
        <v>EN_Bioenergy + CCUS</v>
      </c>
      <c r="C35" s="35" t="s">
        <v>336</v>
      </c>
      <c r="D35" s="35">
        <v>2022</v>
      </c>
      <c r="F35" s="35">
        <v>170</v>
      </c>
      <c r="G35" s="35">
        <v>160</v>
      </c>
      <c r="H35" s="35">
        <v>145</v>
      </c>
      <c r="I35" s="35">
        <v>205</v>
      </c>
      <c r="J35" s="35">
        <v>165</v>
      </c>
      <c r="K35" s="35">
        <v>195</v>
      </c>
      <c r="L35" s="35">
        <v>180</v>
      </c>
      <c r="M35" s="35">
        <v>180</v>
      </c>
      <c r="N35" s="35">
        <v>200</v>
      </c>
      <c r="P35" s="35" t="s">
        <v>335</v>
      </c>
      <c r="Q35"/>
    </row>
    <row r="36" ht="14.5" spans="1:17">
      <c r="A36" s="35" t="s">
        <v>328</v>
      </c>
      <c r="B36" s="12" t="str">
        <f t="shared" si="0"/>
        <v>EN_Bioenergy + CCUS</v>
      </c>
      <c r="C36" s="35" t="s">
        <v>336</v>
      </c>
      <c r="D36" s="35">
        <v>2030</v>
      </c>
      <c r="F36" s="35">
        <v>170</v>
      </c>
      <c r="G36" s="35">
        <v>160</v>
      </c>
      <c r="H36" s="35">
        <v>145</v>
      </c>
      <c r="I36" s="35">
        <v>200</v>
      </c>
      <c r="J36" s="35">
        <v>165</v>
      </c>
      <c r="K36" s="35">
        <v>200</v>
      </c>
      <c r="L36" s="35">
        <v>175</v>
      </c>
      <c r="M36" s="35">
        <v>180</v>
      </c>
      <c r="N36" s="35">
        <v>205</v>
      </c>
      <c r="P36" s="35" t="s">
        <v>335</v>
      </c>
      <c r="Q36"/>
    </row>
    <row r="37" ht="14.5" spans="1:17">
      <c r="A37" s="35" t="s">
        <v>328</v>
      </c>
      <c r="B37" s="12" t="str">
        <f t="shared" si="0"/>
        <v>EN_Bioenergy + CCUS</v>
      </c>
      <c r="C37" s="35" t="s">
        <v>336</v>
      </c>
      <c r="D37" s="35">
        <v>2050</v>
      </c>
      <c r="F37" s="35">
        <v>150</v>
      </c>
      <c r="G37" s="35">
        <v>145</v>
      </c>
      <c r="H37" s="35">
        <v>125</v>
      </c>
      <c r="I37" s="35">
        <v>180</v>
      </c>
      <c r="J37" s="35">
        <v>145</v>
      </c>
      <c r="K37" s="35">
        <v>175</v>
      </c>
      <c r="L37" s="35">
        <v>160</v>
      </c>
      <c r="M37" s="35">
        <v>160</v>
      </c>
      <c r="N37" s="35">
        <v>180</v>
      </c>
      <c r="P37" s="35" t="s">
        <v>335</v>
      </c>
      <c r="Q37"/>
    </row>
    <row r="38" ht="14.5" spans="1:17">
      <c r="A38" s="35" t="s">
        <v>328</v>
      </c>
      <c r="B38" s="12" t="str">
        <f t="shared" si="0"/>
        <v>EN_Bioenergy + CCUS</v>
      </c>
      <c r="C38" s="35" t="s">
        <v>107</v>
      </c>
      <c r="D38" s="35">
        <v>2022</v>
      </c>
      <c r="F38" s="35">
        <v>4900</v>
      </c>
      <c r="G38" s="35">
        <v>4550</v>
      </c>
      <c r="H38" s="35">
        <v>4150</v>
      </c>
      <c r="I38" s="35">
        <v>5750</v>
      </c>
      <c r="J38" s="35">
        <v>4700</v>
      </c>
      <c r="K38" s="35">
        <v>5700</v>
      </c>
      <c r="L38" s="35">
        <v>5150</v>
      </c>
      <c r="M38" s="35">
        <v>5200</v>
      </c>
      <c r="N38" s="35">
        <v>5850</v>
      </c>
      <c r="P38" s="35" t="s">
        <v>335</v>
      </c>
      <c r="Q38"/>
    </row>
    <row r="39" ht="14.5" spans="1:17">
      <c r="A39" s="35" t="s">
        <v>328</v>
      </c>
      <c r="B39" s="12" t="str">
        <f t="shared" si="0"/>
        <v>EN_Bioenergy + CCUS</v>
      </c>
      <c r="C39" s="35" t="s">
        <v>107</v>
      </c>
      <c r="D39" s="35">
        <v>2030</v>
      </c>
      <c r="F39" s="35">
        <v>4850</v>
      </c>
      <c r="G39" s="35">
        <v>4500</v>
      </c>
      <c r="H39" s="35">
        <v>4100</v>
      </c>
      <c r="I39" s="35">
        <v>5700</v>
      </c>
      <c r="J39" s="35">
        <v>4650</v>
      </c>
      <c r="K39" s="35">
        <v>5650</v>
      </c>
      <c r="L39" s="35">
        <v>5050</v>
      </c>
      <c r="M39" s="35">
        <v>5150</v>
      </c>
      <c r="N39" s="35">
        <v>5800</v>
      </c>
      <c r="P39" s="35" t="s">
        <v>335</v>
      </c>
      <c r="Q39"/>
    </row>
    <row r="40" ht="14.5" spans="1:16">
      <c r="A40" s="35" t="s">
        <v>328</v>
      </c>
      <c r="B40" s="12" t="str">
        <f t="shared" si="0"/>
        <v>EN_Bioenergy + CCUS</v>
      </c>
      <c r="C40" s="35" t="s">
        <v>107</v>
      </c>
      <c r="D40" s="35">
        <v>2050</v>
      </c>
      <c r="F40" s="35">
        <v>4350</v>
      </c>
      <c r="G40" s="35">
        <v>4050</v>
      </c>
      <c r="H40" s="35">
        <v>3650</v>
      </c>
      <c r="I40" s="35">
        <v>5100</v>
      </c>
      <c r="J40" s="35">
        <v>4200</v>
      </c>
      <c r="K40" s="35">
        <v>5100</v>
      </c>
      <c r="L40" s="35">
        <v>4500</v>
      </c>
      <c r="M40" s="35">
        <v>4600</v>
      </c>
      <c r="N40" s="35">
        <v>5150</v>
      </c>
      <c r="P40" s="35" t="s">
        <v>335</v>
      </c>
    </row>
    <row r="41" ht="14.5" spans="1:16">
      <c r="A41" s="35" t="s">
        <v>328</v>
      </c>
      <c r="B41" s="12" t="str">
        <f t="shared" si="0"/>
        <v>EN_CCGT</v>
      </c>
      <c r="C41" s="35" t="s">
        <v>329</v>
      </c>
      <c r="D41" s="35">
        <v>2022</v>
      </c>
      <c r="F41" s="35">
        <v>0.58</v>
      </c>
      <c r="G41" s="35">
        <v>0.58</v>
      </c>
      <c r="H41" s="35">
        <v>0.57</v>
      </c>
      <c r="I41" s="35">
        <v>0.59</v>
      </c>
      <c r="J41" s="35">
        <v>0.56</v>
      </c>
      <c r="K41" s="35">
        <v>0.59</v>
      </c>
      <c r="L41" s="35">
        <v>0.57</v>
      </c>
      <c r="M41" s="35">
        <v>0.57</v>
      </c>
      <c r="N41" s="35">
        <v>0.59</v>
      </c>
      <c r="P41" s="35" t="s">
        <v>337</v>
      </c>
    </row>
    <row r="42" ht="14.5" spans="1:16">
      <c r="A42" s="35" t="s">
        <v>328</v>
      </c>
      <c r="B42" s="12" t="str">
        <f t="shared" si="0"/>
        <v>EN_CCGT</v>
      </c>
      <c r="C42" s="35" t="s">
        <v>329</v>
      </c>
      <c r="D42" s="35">
        <v>2030</v>
      </c>
      <c r="F42" s="35">
        <v>0.59</v>
      </c>
      <c r="G42" s="35">
        <v>0.59</v>
      </c>
      <c r="H42" s="35">
        <v>0.58</v>
      </c>
      <c r="I42" s="35">
        <v>0.6</v>
      </c>
      <c r="J42" s="35">
        <v>0.57</v>
      </c>
      <c r="K42" s="35">
        <v>0.6</v>
      </c>
      <c r="L42" s="35">
        <v>0.58</v>
      </c>
      <c r="M42" s="35">
        <v>0.58</v>
      </c>
      <c r="N42" s="35">
        <v>0.6</v>
      </c>
      <c r="P42" s="35" t="s">
        <v>337</v>
      </c>
    </row>
    <row r="43" ht="14.5" spans="1:16">
      <c r="A43" s="35" t="s">
        <v>328</v>
      </c>
      <c r="B43" s="12" t="str">
        <f t="shared" si="0"/>
        <v>EN_CCGT</v>
      </c>
      <c r="C43" s="35" t="s">
        <v>329</v>
      </c>
      <c r="D43" s="35">
        <v>2050</v>
      </c>
      <c r="F43" s="35">
        <v>0.59</v>
      </c>
      <c r="G43" s="35">
        <v>0.59</v>
      </c>
      <c r="H43" s="35">
        <v>0.59</v>
      </c>
      <c r="I43" s="35">
        <v>0.61</v>
      </c>
      <c r="J43" s="35">
        <v>0.58</v>
      </c>
      <c r="K43" s="35">
        <v>0.61</v>
      </c>
      <c r="L43" s="35">
        <v>0.58</v>
      </c>
      <c r="M43" s="35">
        <v>0.58</v>
      </c>
      <c r="N43" s="35">
        <v>0.61</v>
      </c>
      <c r="P43" s="35" t="s">
        <v>337</v>
      </c>
    </row>
    <row r="44" ht="14.5" spans="1:16">
      <c r="A44" s="35" t="s">
        <v>328</v>
      </c>
      <c r="B44" s="12" t="str">
        <f t="shared" si="0"/>
        <v>EN_CCGT</v>
      </c>
      <c r="C44" s="35" t="s">
        <v>336</v>
      </c>
      <c r="D44" s="35">
        <v>2022</v>
      </c>
      <c r="F44" s="35">
        <v>25</v>
      </c>
      <c r="G44" s="35">
        <v>25</v>
      </c>
      <c r="H44" s="35">
        <v>20</v>
      </c>
      <c r="I44" s="35">
        <v>25</v>
      </c>
      <c r="J44" s="35">
        <v>25</v>
      </c>
      <c r="K44" s="35">
        <v>30</v>
      </c>
      <c r="L44" s="35">
        <v>30</v>
      </c>
      <c r="M44" s="35">
        <v>30</v>
      </c>
      <c r="N44" s="35">
        <v>25</v>
      </c>
      <c r="P44" s="35" t="s">
        <v>337</v>
      </c>
    </row>
    <row r="45" ht="14.5" spans="1:16">
      <c r="A45" s="35" t="s">
        <v>328</v>
      </c>
      <c r="B45" s="12" t="str">
        <f t="shared" si="0"/>
        <v>EN_CCGT</v>
      </c>
      <c r="C45" s="35" t="s">
        <v>336</v>
      </c>
      <c r="D45" s="35">
        <v>2030</v>
      </c>
      <c r="F45" s="35">
        <v>25</v>
      </c>
      <c r="G45" s="35">
        <v>25</v>
      </c>
      <c r="H45" s="35">
        <v>20</v>
      </c>
      <c r="I45" s="35">
        <v>25</v>
      </c>
      <c r="J45" s="35">
        <v>25</v>
      </c>
      <c r="K45" s="35">
        <v>30</v>
      </c>
      <c r="L45" s="35">
        <v>30</v>
      </c>
      <c r="M45" s="35">
        <v>30</v>
      </c>
      <c r="N45" s="35">
        <v>25</v>
      </c>
      <c r="P45" s="35" t="s">
        <v>337</v>
      </c>
    </row>
    <row r="46" ht="14.5" spans="1:16">
      <c r="A46" s="35" t="s">
        <v>328</v>
      </c>
      <c r="B46" s="12" t="str">
        <f t="shared" si="0"/>
        <v>EN_CCGT</v>
      </c>
      <c r="C46" s="35" t="s">
        <v>336</v>
      </c>
      <c r="D46" s="35">
        <v>2050</v>
      </c>
      <c r="F46" s="35">
        <v>25</v>
      </c>
      <c r="G46" s="35">
        <v>25</v>
      </c>
      <c r="H46" s="35">
        <v>20</v>
      </c>
      <c r="I46" s="35">
        <v>25</v>
      </c>
      <c r="J46" s="35">
        <v>25</v>
      </c>
      <c r="K46" s="35">
        <v>30</v>
      </c>
      <c r="L46" s="35">
        <v>30</v>
      </c>
      <c r="M46" s="35">
        <v>30</v>
      </c>
      <c r="N46" s="35">
        <v>25</v>
      </c>
      <c r="P46" s="35" t="s">
        <v>337</v>
      </c>
    </row>
    <row r="47" ht="14.5" spans="1:16">
      <c r="A47" s="35" t="s">
        <v>328</v>
      </c>
      <c r="B47" s="12" t="str">
        <f t="shared" si="0"/>
        <v>EN_CCGT</v>
      </c>
      <c r="C47" s="35" t="s">
        <v>107</v>
      </c>
      <c r="D47" s="35">
        <v>2022</v>
      </c>
      <c r="F47" s="35">
        <v>700</v>
      </c>
      <c r="G47" s="35">
        <v>700</v>
      </c>
      <c r="H47" s="35">
        <v>560</v>
      </c>
      <c r="I47" s="35">
        <v>1000</v>
      </c>
      <c r="J47" s="35">
        <v>700</v>
      </c>
      <c r="K47" s="35">
        <v>1100</v>
      </c>
      <c r="L47" s="35">
        <v>800</v>
      </c>
      <c r="M47" s="35">
        <v>800</v>
      </c>
      <c r="N47" s="35">
        <v>1000</v>
      </c>
      <c r="P47" s="35" t="s">
        <v>337</v>
      </c>
    </row>
    <row r="48" ht="14.5" spans="1:16">
      <c r="A48" s="35" t="s">
        <v>328</v>
      </c>
      <c r="B48" s="12" t="str">
        <f t="shared" si="0"/>
        <v>EN_CCGT</v>
      </c>
      <c r="C48" s="35" t="s">
        <v>107</v>
      </c>
      <c r="D48" s="35">
        <v>2030</v>
      </c>
      <c r="F48" s="35">
        <v>700</v>
      </c>
      <c r="G48" s="35">
        <v>700</v>
      </c>
      <c r="H48" s="35">
        <v>560</v>
      </c>
      <c r="I48" s="35">
        <v>1000</v>
      </c>
      <c r="J48" s="35">
        <v>700</v>
      </c>
      <c r="K48" s="35">
        <v>1100</v>
      </c>
      <c r="L48" s="35">
        <v>800</v>
      </c>
      <c r="M48" s="35">
        <v>800</v>
      </c>
      <c r="N48" s="35">
        <v>1000</v>
      </c>
      <c r="P48" s="35" t="s">
        <v>337</v>
      </c>
    </row>
    <row r="49" ht="14.5" spans="1:16">
      <c r="A49" s="35" t="s">
        <v>328</v>
      </c>
      <c r="B49" s="12" t="str">
        <f t="shared" si="0"/>
        <v>EN_CCGT</v>
      </c>
      <c r="C49" s="35" t="s">
        <v>107</v>
      </c>
      <c r="D49" s="35">
        <v>2050</v>
      </c>
      <c r="F49" s="35">
        <v>700</v>
      </c>
      <c r="G49" s="35">
        <v>700</v>
      </c>
      <c r="H49" s="35">
        <v>560</v>
      </c>
      <c r="I49" s="35">
        <v>1000</v>
      </c>
      <c r="J49" s="35">
        <v>700</v>
      </c>
      <c r="K49" s="35">
        <v>1100</v>
      </c>
      <c r="L49" s="35">
        <v>800</v>
      </c>
      <c r="M49" s="35">
        <v>800</v>
      </c>
      <c r="N49" s="35">
        <v>1000</v>
      </c>
      <c r="P49" s="35" t="s">
        <v>337</v>
      </c>
    </row>
    <row r="50" ht="14.5" spans="1:16">
      <c r="A50" s="35" t="s">
        <v>328</v>
      </c>
      <c r="B50" s="12" t="str">
        <f t="shared" si="0"/>
        <v>\I: EN_CCGT - CHP</v>
      </c>
      <c r="C50" s="35" t="s">
        <v>329</v>
      </c>
      <c r="D50" s="35">
        <v>2022</v>
      </c>
      <c r="F50" s="35">
        <v>0.81</v>
      </c>
      <c r="G50" s="35">
        <v>0.81</v>
      </c>
      <c r="H50" s="35">
        <v>0.8</v>
      </c>
      <c r="I50" s="35">
        <v>0.82</v>
      </c>
      <c r="J50" s="35">
        <v>0.79</v>
      </c>
      <c r="K50" s="35">
        <v>0.82</v>
      </c>
      <c r="L50" s="35">
        <v>0.8</v>
      </c>
      <c r="M50" s="35">
        <v>0.8</v>
      </c>
      <c r="N50" s="35">
        <v>0.82</v>
      </c>
      <c r="P50" s="35" t="s">
        <v>338</v>
      </c>
    </row>
    <row r="51" ht="14.5" spans="1:16">
      <c r="A51" s="35" t="s">
        <v>328</v>
      </c>
      <c r="B51" s="12" t="str">
        <f t="shared" si="0"/>
        <v>\I: EN_CCGT - CHP</v>
      </c>
      <c r="C51" s="35" t="s">
        <v>329</v>
      </c>
      <c r="D51" s="35">
        <v>2030</v>
      </c>
      <c r="F51" s="35">
        <v>0.82</v>
      </c>
      <c r="G51" s="35">
        <v>0.82</v>
      </c>
      <c r="H51" s="35">
        <v>0.81</v>
      </c>
      <c r="I51" s="35">
        <v>0.83</v>
      </c>
      <c r="J51" s="35">
        <v>0.8</v>
      </c>
      <c r="K51" s="35">
        <v>0.83</v>
      </c>
      <c r="L51" s="35">
        <v>0.81</v>
      </c>
      <c r="M51" s="35">
        <v>0.81</v>
      </c>
      <c r="N51" s="35">
        <v>0.83</v>
      </c>
      <c r="P51" s="35" t="s">
        <v>338</v>
      </c>
    </row>
    <row r="52" ht="14.5" spans="1:16">
      <c r="A52" s="35" t="s">
        <v>328</v>
      </c>
      <c r="B52" s="12" t="str">
        <f t="shared" si="0"/>
        <v>\I: EN_CCGT - CHP</v>
      </c>
      <c r="C52" s="35" t="s">
        <v>329</v>
      </c>
      <c r="D52" s="35">
        <v>2050</v>
      </c>
      <c r="F52" s="35">
        <v>0.83</v>
      </c>
      <c r="G52" s="35">
        <v>0.83</v>
      </c>
      <c r="H52" s="35">
        <v>0.82</v>
      </c>
      <c r="I52" s="35">
        <v>0.84</v>
      </c>
      <c r="J52" s="35">
        <v>0.81</v>
      </c>
      <c r="K52" s="35">
        <v>0.84</v>
      </c>
      <c r="L52" s="35">
        <v>0.82</v>
      </c>
      <c r="M52" s="35">
        <v>0.82</v>
      </c>
      <c r="N52" s="35">
        <v>0.84</v>
      </c>
      <c r="P52" s="35" t="s">
        <v>338</v>
      </c>
    </row>
    <row r="53" ht="14.5" spans="1:16">
      <c r="A53" s="35" t="s">
        <v>328</v>
      </c>
      <c r="B53" s="12" t="str">
        <f t="shared" si="0"/>
        <v>\I: EN_CCGT - CHP</v>
      </c>
      <c r="C53" s="35" t="s">
        <v>336</v>
      </c>
      <c r="D53" s="35">
        <v>2022</v>
      </c>
      <c r="F53" s="35">
        <v>35</v>
      </c>
      <c r="G53" s="35">
        <v>35</v>
      </c>
      <c r="H53" s="35">
        <v>30</v>
      </c>
      <c r="I53" s="35">
        <v>40</v>
      </c>
      <c r="J53" s="35">
        <v>35</v>
      </c>
      <c r="K53" s="35">
        <v>45</v>
      </c>
      <c r="L53" s="35">
        <v>40</v>
      </c>
      <c r="M53" s="35">
        <v>40</v>
      </c>
      <c r="N53" s="35">
        <v>40</v>
      </c>
      <c r="P53" s="35" t="s">
        <v>338</v>
      </c>
    </row>
    <row r="54" ht="14.5" spans="1:16">
      <c r="A54" s="35" t="s">
        <v>328</v>
      </c>
      <c r="B54" s="12" t="str">
        <f t="shared" si="0"/>
        <v>\I: EN_CCGT - CHP</v>
      </c>
      <c r="C54" s="35" t="s">
        <v>336</v>
      </c>
      <c r="D54" s="35">
        <v>2030</v>
      </c>
      <c r="F54" s="35">
        <v>35</v>
      </c>
      <c r="G54" s="35">
        <v>35</v>
      </c>
      <c r="H54" s="35">
        <v>30</v>
      </c>
      <c r="I54" s="35">
        <v>40</v>
      </c>
      <c r="J54" s="35">
        <v>35</v>
      </c>
      <c r="K54" s="35">
        <v>45</v>
      </c>
      <c r="L54" s="35">
        <v>40</v>
      </c>
      <c r="M54" s="35">
        <v>40</v>
      </c>
      <c r="N54" s="35">
        <v>40</v>
      </c>
      <c r="P54" s="35" t="s">
        <v>338</v>
      </c>
    </row>
    <row r="55" ht="14.5" spans="1:16">
      <c r="A55" s="35" t="s">
        <v>328</v>
      </c>
      <c r="B55" s="12" t="str">
        <f t="shared" si="0"/>
        <v>\I: EN_CCGT - CHP</v>
      </c>
      <c r="C55" s="35" t="s">
        <v>336</v>
      </c>
      <c r="D55" s="35">
        <v>2050</v>
      </c>
      <c r="F55" s="35">
        <v>35</v>
      </c>
      <c r="G55" s="35">
        <v>35</v>
      </c>
      <c r="H55" s="35">
        <v>30</v>
      </c>
      <c r="I55" s="35">
        <v>40</v>
      </c>
      <c r="J55" s="35">
        <v>35</v>
      </c>
      <c r="K55" s="35">
        <v>45</v>
      </c>
      <c r="L55" s="35">
        <v>40</v>
      </c>
      <c r="M55" s="35">
        <v>40</v>
      </c>
      <c r="N55" s="35">
        <v>40</v>
      </c>
      <c r="P55" s="35" t="s">
        <v>338</v>
      </c>
    </row>
    <row r="56" ht="14.5" spans="1:16">
      <c r="A56" s="35" t="s">
        <v>328</v>
      </c>
      <c r="B56" s="12" t="str">
        <f t="shared" si="0"/>
        <v>\I: EN_CCGT - CHP</v>
      </c>
      <c r="C56" s="35" t="s">
        <v>107</v>
      </c>
      <c r="D56" s="35">
        <v>2022</v>
      </c>
      <c r="F56" s="35">
        <v>920</v>
      </c>
      <c r="G56" s="35">
        <v>920</v>
      </c>
      <c r="H56" s="35">
        <v>720</v>
      </c>
      <c r="I56" s="35">
        <v>1300</v>
      </c>
      <c r="J56" s="35">
        <v>920</v>
      </c>
      <c r="K56" s="35">
        <v>1440</v>
      </c>
      <c r="L56" s="35">
        <v>1040</v>
      </c>
      <c r="M56" s="35">
        <v>1040</v>
      </c>
      <c r="N56" s="35">
        <v>1300</v>
      </c>
      <c r="P56" s="35" t="s">
        <v>338</v>
      </c>
    </row>
    <row r="57" ht="14.5" spans="1:16">
      <c r="A57" s="35" t="s">
        <v>328</v>
      </c>
      <c r="B57" s="12" t="str">
        <f t="shared" si="0"/>
        <v>\I: EN_CCGT - CHP</v>
      </c>
      <c r="C57" s="35" t="s">
        <v>107</v>
      </c>
      <c r="D57" s="35">
        <v>2030</v>
      </c>
      <c r="F57" s="35">
        <v>920</v>
      </c>
      <c r="G57" s="35">
        <v>920</v>
      </c>
      <c r="H57" s="35">
        <v>720</v>
      </c>
      <c r="I57" s="35">
        <v>1300</v>
      </c>
      <c r="J57" s="35">
        <v>920</v>
      </c>
      <c r="K57" s="35">
        <v>1440</v>
      </c>
      <c r="L57" s="35">
        <v>1040</v>
      </c>
      <c r="M57" s="35">
        <v>1040</v>
      </c>
      <c r="N57" s="35">
        <v>1300</v>
      </c>
      <c r="P57" s="35" t="s">
        <v>338</v>
      </c>
    </row>
    <row r="58" ht="14.5" spans="1:16">
      <c r="A58" s="35" t="s">
        <v>328</v>
      </c>
      <c r="B58" s="12" t="str">
        <f t="shared" si="0"/>
        <v>\I: EN_CCGT - CHP</v>
      </c>
      <c r="C58" s="35" t="s">
        <v>107</v>
      </c>
      <c r="D58" s="35">
        <v>2050</v>
      </c>
      <c r="F58" s="35">
        <v>920</v>
      </c>
      <c r="G58" s="35">
        <v>920</v>
      </c>
      <c r="H58" s="35">
        <v>720</v>
      </c>
      <c r="I58" s="35">
        <v>1300</v>
      </c>
      <c r="J58" s="35">
        <v>920</v>
      </c>
      <c r="K58" s="35">
        <v>1440</v>
      </c>
      <c r="L58" s="35">
        <v>1040</v>
      </c>
      <c r="M58" s="35">
        <v>1040</v>
      </c>
      <c r="N58" s="35">
        <v>1300</v>
      </c>
      <c r="P58" s="35" t="s">
        <v>338</v>
      </c>
    </row>
    <row r="59" ht="14.5" spans="1:16">
      <c r="A59" s="35" t="s">
        <v>328</v>
      </c>
      <c r="B59" s="12" t="str">
        <f t="shared" si="0"/>
        <v>EN_CCGT + CCS</v>
      </c>
      <c r="C59" s="35" t="s">
        <v>329</v>
      </c>
      <c r="D59" s="35">
        <v>2022</v>
      </c>
      <c r="F59" s="35">
        <v>0.5</v>
      </c>
      <c r="G59" s="35" t="s">
        <v>372</v>
      </c>
      <c r="H59" s="35">
        <v>0.49</v>
      </c>
      <c r="I59" s="35">
        <v>0.51</v>
      </c>
      <c r="J59" s="35">
        <v>0.48</v>
      </c>
      <c r="K59" s="35">
        <v>0.51</v>
      </c>
      <c r="L59" s="35">
        <v>0.49</v>
      </c>
      <c r="M59" s="35">
        <v>0.49</v>
      </c>
      <c r="N59" s="35">
        <v>0.51</v>
      </c>
      <c r="P59" s="35" t="s">
        <v>340</v>
      </c>
    </row>
    <row r="60" ht="14.5" spans="1:16">
      <c r="A60" s="35" t="s">
        <v>328</v>
      </c>
      <c r="B60" s="12" t="str">
        <f t="shared" si="0"/>
        <v>EN_CCGT + CCS</v>
      </c>
      <c r="C60" s="35" t="s">
        <v>329</v>
      </c>
      <c r="D60" s="35">
        <v>2030</v>
      </c>
      <c r="F60" s="35">
        <v>0.51</v>
      </c>
      <c r="G60" s="35" t="s">
        <v>372</v>
      </c>
      <c r="H60" s="35">
        <v>0.5</v>
      </c>
      <c r="I60" s="35">
        <v>0.52</v>
      </c>
      <c r="J60" s="35">
        <v>0.49</v>
      </c>
      <c r="K60" s="35">
        <v>0.52</v>
      </c>
      <c r="L60" s="35">
        <v>0.5</v>
      </c>
      <c r="M60" s="35">
        <v>0.5</v>
      </c>
      <c r="N60" s="35">
        <v>0.52</v>
      </c>
      <c r="P60" s="35" t="s">
        <v>340</v>
      </c>
    </row>
    <row r="61" ht="14.5" spans="1:16">
      <c r="A61" s="35" t="s">
        <v>328</v>
      </c>
      <c r="B61" s="12" t="str">
        <f t="shared" si="0"/>
        <v>EN_CCGT + CCS</v>
      </c>
      <c r="C61" s="35" t="s">
        <v>329</v>
      </c>
      <c r="D61" s="35">
        <v>2050</v>
      </c>
      <c r="F61" s="35">
        <v>0.51</v>
      </c>
      <c r="G61" s="35" t="s">
        <v>372</v>
      </c>
      <c r="H61" s="35">
        <v>0.5</v>
      </c>
      <c r="I61" s="35">
        <v>0.52</v>
      </c>
      <c r="J61" s="35">
        <v>0.49</v>
      </c>
      <c r="K61" s="35">
        <v>0.52</v>
      </c>
      <c r="L61" s="35">
        <v>0.5</v>
      </c>
      <c r="M61" s="35">
        <v>0.5</v>
      </c>
      <c r="N61" s="35">
        <v>0.52</v>
      </c>
      <c r="P61" s="35" t="s">
        <v>340</v>
      </c>
    </row>
    <row r="62" ht="14.5" spans="1:16">
      <c r="A62" s="35" t="s">
        <v>328</v>
      </c>
      <c r="B62" s="12" t="str">
        <f t="shared" si="0"/>
        <v>EN_CCGT + CCS</v>
      </c>
      <c r="C62" s="35" t="s">
        <v>336</v>
      </c>
      <c r="D62" s="35">
        <v>2022</v>
      </c>
      <c r="F62" s="35">
        <v>85</v>
      </c>
      <c r="G62" s="35">
        <v>55</v>
      </c>
      <c r="H62" s="35">
        <v>70</v>
      </c>
      <c r="I62" s="35">
        <v>80</v>
      </c>
      <c r="J62" s="35">
        <v>80</v>
      </c>
      <c r="K62" s="35">
        <v>80</v>
      </c>
      <c r="L62" s="35">
        <v>100</v>
      </c>
      <c r="M62" s="35">
        <v>95</v>
      </c>
      <c r="N62" s="35">
        <v>80</v>
      </c>
      <c r="P62" s="35" t="s">
        <v>340</v>
      </c>
    </row>
    <row r="63" ht="14.5" spans="1:18">
      <c r="A63" s="35" t="s">
        <v>328</v>
      </c>
      <c r="B63" s="12" t="str">
        <f t="shared" si="0"/>
        <v>EN_CCGT + CCS</v>
      </c>
      <c r="C63" s="35" t="s">
        <v>336</v>
      </c>
      <c r="D63" s="35">
        <v>2030</v>
      </c>
      <c r="F63" s="35">
        <v>85</v>
      </c>
      <c r="G63" s="35">
        <v>55</v>
      </c>
      <c r="H63" s="35">
        <v>70</v>
      </c>
      <c r="I63" s="35">
        <v>75</v>
      </c>
      <c r="J63" s="35">
        <v>80</v>
      </c>
      <c r="K63" s="35">
        <v>80</v>
      </c>
      <c r="L63" s="35">
        <v>100</v>
      </c>
      <c r="M63" s="35">
        <v>95</v>
      </c>
      <c r="N63" s="35">
        <v>75</v>
      </c>
      <c r="P63" s="35" t="s">
        <v>340</v>
      </c>
      <c r="R63"/>
    </row>
    <row r="64" ht="14.5" spans="1:18">
      <c r="A64" s="35" t="s">
        <v>328</v>
      </c>
      <c r="B64" s="12" t="str">
        <f t="shared" si="0"/>
        <v>EN_CCGT + CCS</v>
      </c>
      <c r="C64" s="35" t="s">
        <v>336</v>
      </c>
      <c r="D64" s="35">
        <v>2050</v>
      </c>
      <c r="F64" s="35">
        <v>70</v>
      </c>
      <c r="G64" s="35">
        <v>50</v>
      </c>
      <c r="H64" s="35">
        <v>55</v>
      </c>
      <c r="I64" s="35">
        <v>60</v>
      </c>
      <c r="J64" s="35">
        <v>65</v>
      </c>
      <c r="K64" s="35">
        <v>65</v>
      </c>
      <c r="L64" s="35">
        <v>80</v>
      </c>
      <c r="M64" s="35">
        <v>75</v>
      </c>
      <c r="N64" s="35">
        <v>60</v>
      </c>
      <c r="P64" s="35" t="s">
        <v>340</v>
      </c>
      <c r="R64"/>
    </row>
    <row r="65" ht="14.5" spans="1:18">
      <c r="A65" s="35" t="s">
        <v>328</v>
      </c>
      <c r="B65" s="12" t="str">
        <f t="shared" si="0"/>
        <v>EN_CCGT + CCS</v>
      </c>
      <c r="C65" s="35" t="s">
        <v>107</v>
      </c>
      <c r="D65" s="35">
        <v>2022</v>
      </c>
      <c r="F65" s="35">
        <v>2450</v>
      </c>
      <c r="G65" s="35">
        <v>1650</v>
      </c>
      <c r="H65" s="35">
        <v>2200</v>
      </c>
      <c r="I65" s="35">
        <v>3100</v>
      </c>
      <c r="J65" s="35">
        <v>2300</v>
      </c>
      <c r="K65" s="35">
        <v>3200</v>
      </c>
      <c r="L65" s="35">
        <v>2800</v>
      </c>
      <c r="M65" s="35">
        <v>2650</v>
      </c>
      <c r="N65" s="35">
        <v>3100</v>
      </c>
      <c r="P65" s="35" t="s">
        <v>340</v>
      </c>
      <c r="R65"/>
    </row>
    <row r="66" ht="14.5" spans="1:18">
      <c r="A66" s="35" t="s">
        <v>328</v>
      </c>
      <c r="B66" s="12" t="str">
        <f t="shared" si="0"/>
        <v>EN_CCGT + CCS</v>
      </c>
      <c r="C66" s="35" t="s">
        <v>107</v>
      </c>
      <c r="D66" s="35">
        <v>2030</v>
      </c>
      <c r="F66" s="35">
        <v>2450</v>
      </c>
      <c r="G66" s="35">
        <v>1650</v>
      </c>
      <c r="H66" s="35">
        <v>2200</v>
      </c>
      <c r="I66" s="35">
        <v>3100</v>
      </c>
      <c r="J66" s="35">
        <v>2300</v>
      </c>
      <c r="K66" s="35">
        <v>3200</v>
      </c>
      <c r="L66" s="35">
        <v>2800</v>
      </c>
      <c r="M66" s="35">
        <v>2650</v>
      </c>
      <c r="N66" s="35">
        <v>3100</v>
      </c>
      <c r="P66" s="35" t="s">
        <v>340</v>
      </c>
      <c r="R66"/>
    </row>
    <row r="67" ht="14.5" spans="1:18">
      <c r="A67" s="35" t="s">
        <v>328</v>
      </c>
      <c r="B67" s="12" t="str">
        <f t="shared" si="0"/>
        <v>EN_CCGT + CCS</v>
      </c>
      <c r="C67" s="35" t="s">
        <v>107</v>
      </c>
      <c r="D67" s="35">
        <v>2050</v>
      </c>
      <c r="F67" s="35">
        <v>1950</v>
      </c>
      <c r="G67" s="35">
        <v>1350</v>
      </c>
      <c r="H67" s="35">
        <v>1650</v>
      </c>
      <c r="I67" s="35">
        <v>2500</v>
      </c>
      <c r="J67" s="35">
        <v>1850</v>
      </c>
      <c r="K67" s="35">
        <v>2600</v>
      </c>
      <c r="L67" s="35">
        <v>2250</v>
      </c>
      <c r="M67" s="35">
        <v>2100</v>
      </c>
      <c r="N67" s="35">
        <v>2400</v>
      </c>
      <c r="P67" s="35" t="s">
        <v>340</v>
      </c>
      <c r="R67"/>
    </row>
    <row r="68" ht="14.5" spans="1:18">
      <c r="A68" s="35" t="s">
        <v>328</v>
      </c>
      <c r="B68" s="12" t="str">
        <f t="shared" si="0"/>
        <v>EN_Coal + CCS</v>
      </c>
      <c r="C68" s="35" t="s">
        <v>329</v>
      </c>
      <c r="D68" s="35">
        <v>2022</v>
      </c>
      <c r="F68" s="35">
        <v>0.32</v>
      </c>
      <c r="G68" s="35" t="s">
        <v>372</v>
      </c>
      <c r="H68" s="35">
        <v>0.35</v>
      </c>
      <c r="I68" s="35">
        <v>0.36</v>
      </c>
      <c r="J68" s="35">
        <v>0.31</v>
      </c>
      <c r="K68" s="35">
        <v>0.36</v>
      </c>
      <c r="L68" s="35" t="s">
        <v>372</v>
      </c>
      <c r="M68" s="35">
        <v>0.36</v>
      </c>
      <c r="N68" s="35">
        <v>0.36</v>
      </c>
      <c r="P68" s="35" t="s">
        <v>341</v>
      </c>
      <c r="R68"/>
    </row>
    <row r="69" ht="14.5" spans="1:18">
      <c r="A69" s="35" t="s">
        <v>328</v>
      </c>
      <c r="B69" s="12" t="str">
        <f t="shared" si="0"/>
        <v>EN_Coal + CCS</v>
      </c>
      <c r="C69" s="35" t="s">
        <v>329</v>
      </c>
      <c r="D69" s="35">
        <v>2030</v>
      </c>
      <c r="F69" s="35">
        <v>0.33</v>
      </c>
      <c r="G69" s="35" t="s">
        <v>372</v>
      </c>
      <c r="H69" s="35">
        <v>0.36</v>
      </c>
      <c r="I69" s="35">
        <v>0.37</v>
      </c>
      <c r="J69" s="35">
        <v>0.32</v>
      </c>
      <c r="K69" s="35">
        <v>0.37</v>
      </c>
      <c r="L69" s="35" t="s">
        <v>372</v>
      </c>
      <c r="M69" s="35">
        <v>0.37</v>
      </c>
      <c r="N69" s="35">
        <v>0.37</v>
      </c>
      <c r="P69" s="35" t="s">
        <v>341</v>
      </c>
      <c r="R69"/>
    </row>
    <row r="70" ht="14.5" spans="1:18">
      <c r="A70" s="35" t="s">
        <v>328</v>
      </c>
      <c r="B70" s="12" t="str">
        <f t="shared" si="0"/>
        <v>EN_Coal + CCS</v>
      </c>
      <c r="C70" s="35" t="s">
        <v>329</v>
      </c>
      <c r="D70" s="35">
        <v>2050</v>
      </c>
      <c r="F70" s="35">
        <v>0.33</v>
      </c>
      <c r="G70" s="35" t="s">
        <v>372</v>
      </c>
      <c r="H70" s="35">
        <v>0.36</v>
      </c>
      <c r="I70" s="35">
        <v>0.37</v>
      </c>
      <c r="J70" s="35">
        <v>0.31</v>
      </c>
      <c r="K70" s="35">
        <v>0.37</v>
      </c>
      <c r="L70" s="35" t="s">
        <v>372</v>
      </c>
      <c r="M70" s="35">
        <v>0.37</v>
      </c>
      <c r="N70" s="35">
        <v>0.37</v>
      </c>
      <c r="P70" s="35" t="s">
        <v>341</v>
      </c>
      <c r="R70"/>
    </row>
    <row r="71" ht="14.5" spans="1:18">
      <c r="A71" s="35" t="s">
        <v>328</v>
      </c>
      <c r="B71" s="12" t="str">
        <f t="shared" ref="B71:B134" si="1">VLOOKUP(P71,$Q$4:$R$33,2,FALSE)</f>
        <v>EN_Coal + CCS</v>
      </c>
      <c r="C71" s="35" t="s">
        <v>336</v>
      </c>
      <c r="D71" s="35">
        <v>2022</v>
      </c>
      <c r="F71" s="35">
        <v>175</v>
      </c>
      <c r="G71" s="35">
        <v>170</v>
      </c>
      <c r="H71" s="35">
        <v>135</v>
      </c>
      <c r="I71" s="35">
        <v>165</v>
      </c>
      <c r="J71" s="35">
        <v>155</v>
      </c>
      <c r="K71" s="35">
        <v>175</v>
      </c>
      <c r="L71" s="35">
        <v>180</v>
      </c>
      <c r="M71" s="35">
        <v>180</v>
      </c>
      <c r="N71" s="35">
        <v>170</v>
      </c>
      <c r="P71" s="35" t="s">
        <v>341</v>
      </c>
      <c r="R71"/>
    </row>
    <row r="72" ht="14.5" spans="1:18">
      <c r="A72" s="35" t="s">
        <v>328</v>
      </c>
      <c r="B72" s="12" t="str">
        <f t="shared" si="1"/>
        <v>EN_Coal + CCS</v>
      </c>
      <c r="C72" s="35" t="s">
        <v>336</v>
      </c>
      <c r="D72" s="35">
        <v>2030</v>
      </c>
      <c r="F72" s="35">
        <v>175</v>
      </c>
      <c r="G72" s="35">
        <v>170</v>
      </c>
      <c r="H72" s="35">
        <v>135</v>
      </c>
      <c r="I72" s="35">
        <v>165</v>
      </c>
      <c r="J72" s="35">
        <v>155</v>
      </c>
      <c r="K72" s="35">
        <v>175</v>
      </c>
      <c r="L72" s="35">
        <v>180</v>
      </c>
      <c r="M72" s="35">
        <v>180</v>
      </c>
      <c r="N72" s="35">
        <v>170</v>
      </c>
      <c r="P72" s="35" t="s">
        <v>341</v>
      </c>
      <c r="R72"/>
    </row>
    <row r="73" ht="14.5" spans="1:18">
      <c r="A73" s="35" t="s">
        <v>328</v>
      </c>
      <c r="B73" s="12" t="str">
        <f t="shared" si="1"/>
        <v>EN_Coal + CCS</v>
      </c>
      <c r="C73" s="35" t="s">
        <v>336</v>
      </c>
      <c r="D73" s="35">
        <v>2050</v>
      </c>
      <c r="F73" s="35">
        <v>140</v>
      </c>
      <c r="G73" s="35">
        <v>140</v>
      </c>
      <c r="H73" s="35">
        <v>100</v>
      </c>
      <c r="I73" s="35">
        <v>135</v>
      </c>
      <c r="J73" s="35">
        <v>125</v>
      </c>
      <c r="K73" s="35">
        <v>145</v>
      </c>
      <c r="L73" s="35">
        <v>145</v>
      </c>
      <c r="M73" s="35">
        <v>145</v>
      </c>
      <c r="N73" s="35">
        <v>135</v>
      </c>
      <c r="P73" s="35" t="s">
        <v>341</v>
      </c>
      <c r="R73"/>
    </row>
    <row r="74" ht="14.5" spans="1:18">
      <c r="A74" s="35" t="s">
        <v>328</v>
      </c>
      <c r="B74" s="12" t="str">
        <f t="shared" si="1"/>
        <v>EN_Coal + CCS</v>
      </c>
      <c r="C74" s="35" t="s">
        <v>107</v>
      </c>
      <c r="D74" s="35">
        <v>2022</v>
      </c>
      <c r="F74" s="35">
        <v>4500</v>
      </c>
      <c r="G74" s="35">
        <v>4300</v>
      </c>
      <c r="H74" s="35">
        <v>3400</v>
      </c>
      <c r="I74" s="35">
        <v>5500</v>
      </c>
      <c r="J74" s="35">
        <v>3900</v>
      </c>
      <c r="K74" s="35">
        <v>5900</v>
      </c>
      <c r="L74" s="35">
        <v>4500</v>
      </c>
      <c r="M74" s="35">
        <v>5100</v>
      </c>
      <c r="N74" s="35">
        <v>5600</v>
      </c>
      <c r="P74" s="35" t="s">
        <v>341</v>
      </c>
      <c r="R74"/>
    </row>
    <row r="75" ht="14.5" spans="1:18">
      <c r="A75" s="35" t="s">
        <v>328</v>
      </c>
      <c r="B75" s="12" t="str">
        <f t="shared" si="1"/>
        <v>EN_Coal + CCS</v>
      </c>
      <c r="C75" s="35" t="s">
        <v>107</v>
      </c>
      <c r="D75" s="35">
        <v>2030</v>
      </c>
      <c r="F75" s="35">
        <v>4500</v>
      </c>
      <c r="G75" s="35">
        <v>4300</v>
      </c>
      <c r="H75" s="35">
        <v>3400</v>
      </c>
      <c r="I75" s="35">
        <v>5500</v>
      </c>
      <c r="J75" s="35">
        <v>3900</v>
      </c>
      <c r="K75" s="35">
        <v>5900</v>
      </c>
      <c r="L75" s="35">
        <v>4500</v>
      </c>
      <c r="M75" s="35">
        <v>5100</v>
      </c>
      <c r="N75" s="35">
        <v>5600</v>
      </c>
      <c r="P75" s="35" t="s">
        <v>341</v>
      </c>
      <c r="R75"/>
    </row>
    <row r="76" ht="14.5" spans="1:18">
      <c r="A76" s="35" t="s">
        <v>328</v>
      </c>
      <c r="B76" s="12" t="str">
        <f t="shared" si="1"/>
        <v>EN_Coal + CCS</v>
      </c>
      <c r="C76" s="35" t="s">
        <v>107</v>
      </c>
      <c r="D76" s="35">
        <v>2050</v>
      </c>
      <c r="F76" s="35">
        <v>3650</v>
      </c>
      <c r="G76" s="35">
        <v>3550</v>
      </c>
      <c r="H76" s="35">
        <v>2550</v>
      </c>
      <c r="I76" s="35">
        <v>4500</v>
      </c>
      <c r="J76" s="35">
        <v>3150</v>
      </c>
      <c r="K76" s="35">
        <v>4900</v>
      </c>
      <c r="L76" s="35">
        <v>3650</v>
      </c>
      <c r="M76" s="35">
        <v>4200</v>
      </c>
      <c r="N76" s="35">
        <v>4450</v>
      </c>
      <c r="P76" s="35" t="s">
        <v>341</v>
      </c>
      <c r="R76"/>
    </row>
    <row r="77" ht="14.5" spans="1:18">
      <c r="A77" s="35" t="s">
        <v>328</v>
      </c>
      <c r="B77" s="12" t="str">
        <f t="shared" si="1"/>
        <v>\I: EN_Concentrating solar power</v>
      </c>
      <c r="C77" s="35" t="s">
        <v>329</v>
      </c>
      <c r="D77" s="35">
        <v>2022</v>
      </c>
      <c r="F77" s="35">
        <v>0.4</v>
      </c>
      <c r="G77" s="35">
        <v>0.4</v>
      </c>
      <c r="H77" s="35">
        <v>0.4</v>
      </c>
      <c r="I77" s="35">
        <v>0.4</v>
      </c>
      <c r="J77" s="35">
        <v>0.4</v>
      </c>
      <c r="K77" s="35" t="s">
        <v>372</v>
      </c>
      <c r="L77" s="35">
        <v>0.4</v>
      </c>
      <c r="M77" s="35" t="s">
        <v>372</v>
      </c>
      <c r="N77" s="35">
        <v>0.4</v>
      </c>
      <c r="P77" s="35" t="s">
        <v>342</v>
      </c>
      <c r="R77"/>
    </row>
    <row r="78" ht="14.5" spans="1:18">
      <c r="A78" s="35" t="s">
        <v>328</v>
      </c>
      <c r="B78" s="12" t="str">
        <f t="shared" si="1"/>
        <v>\I: EN_Concentrating solar power</v>
      </c>
      <c r="C78" s="35" t="s">
        <v>329</v>
      </c>
      <c r="D78" s="35">
        <v>2030</v>
      </c>
      <c r="F78" s="35">
        <v>0.4</v>
      </c>
      <c r="G78" s="35">
        <v>0.4</v>
      </c>
      <c r="H78" s="35">
        <v>0.4</v>
      </c>
      <c r="I78" s="35">
        <v>0.4</v>
      </c>
      <c r="J78" s="35">
        <v>0.4</v>
      </c>
      <c r="K78" s="35" t="s">
        <v>372</v>
      </c>
      <c r="L78" s="35">
        <v>0.4</v>
      </c>
      <c r="M78" s="35" t="s">
        <v>372</v>
      </c>
      <c r="N78" s="35">
        <v>0.4</v>
      </c>
      <c r="P78" s="35" t="s">
        <v>342</v>
      </c>
      <c r="R78"/>
    </row>
    <row r="79" ht="14.5" spans="1:18">
      <c r="A79" s="35" t="s">
        <v>328</v>
      </c>
      <c r="B79" s="12" t="str">
        <f t="shared" si="1"/>
        <v>\I: EN_Concentrating solar power</v>
      </c>
      <c r="C79" s="35" t="s">
        <v>329</v>
      </c>
      <c r="D79" s="35">
        <v>2050</v>
      </c>
      <c r="F79" s="35">
        <v>0.4</v>
      </c>
      <c r="G79" s="35">
        <v>0.4</v>
      </c>
      <c r="H79" s="35">
        <v>0.4</v>
      </c>
      <c r="I79" s="35">
        <v>0.4</v>
      </c>
      <c r="J79" s="35">
        <v>0.4</v>
      </c>
      <c r="K79" s="35" t="s">
        <v>372</v>
      </c>
      <c r="L79" s="35">
        <v>0.4</v>
      </c>
      <c r="M79" s="35" t="s">
        <v>372</v>
      </c>
      <c r="N79" s="35">
        <v>0.4</v>
      </c>
      <c r="P79" s="35" t="s">
        <v>342</v>
      </c>
      <c r="R79"/>
    </row>
    <row r="80" ht="14.5" spans="1:18">
      <c r="A80" s="35" t="s">
        <v>328</v>
      </c>
      <c r="B80" s="12" t="str">
        <f t="shared" si="1"/>
        <v>\I: EN_Concentrating solar power</v>
      </c>
      <c r="C80" s="35" t="s">
        <v>336</v>
      </c>
      <c r="D80" s="35">
        <v>2022</v>
      </c>
      <c r="F80" s="35">
        <v>200</v>
      </c>
      <c r="G80" s="35">
        <v>210</v>
      </c>
      <c r="H80" s="35">
        <v>200</v>
      </c>
      <c r="I80" s="35">
        <v>230</v>
      </c>
      <c r="J80" s="35">
        <v>230</v>
      </c>
      <c r="K80" s="35" t="s">
        <v>372</v>
      </c>
      <c r="L80" s="35">
        <v>210</v>
      </c>
      <c r="M80" s="35" t="s">
        <v>372</v>
      </c>
      <c r="N80" s="35">
        <v>260</v>
      </c>
      <c r="P80" s="35" t="s">
        <v>342</v>
      </c>
      <c r="R80"/>
    </row>
    <row r="81" ht="14.5" spans="1:18">
      <c r="A81" s="35" t="s">
        <v>328</v>
      </c>
      <c r="B81" s="12" t="str">
        <f t="shared" si="1"/>
        <v>\I: EN_Concentrating solar power</v>
      </c>
      <c r="C81" s="35" t="s">
        <v>336</v>
      </c>
      <c r="D81" s="35">
        <v>2030</v>
      </c>
      <c r="F81" s="35">
        <v>180</v>
      </c>
      <c r="G81" s="35">
        <v>190</v>
      </c>
      <c r="H81" s="35">
        <v>170</v>
      </c>
      <c r="I81" s="35">
        <v>200</v>
      </c>
      <c r="J81" s="35">
        <v>200</v>
      </c>
      <c r="K81" s="35" t="s">
        <v>372</v>
      </c>
      <c r="L81" s="35">
        <v>180</v>
      </c>
      <c r="M81" s="35" t="s">
        <v>372</v>
      </c>
      <c r="N81" s="35">
        <v>230</v>
      </c>
      <c r="P81" s="35" t="s">
        <v>342</v>
      </c>
      <c r="R81"/>
    </row>
    <row r="82" ht="14.5" spans="1:18">
      <c r="A82" s="35" t="s">
        <v>328</v>
      </c>
      <c r="B82" s="12" t="str">
        <f t="shared" si="1"/>
        <v>\I: EN_Concentrating solar power</v>
      </c>
      <c r="C82" s="35" t="s">
        <v>336</v>
      </c>
      <c r="D82" s="35">
        <v>2050</v>
      </c>
      <c r="F82" s="35">
        <v>140</v>
      </c>
      <c r="G82" s="35">
        <v>140</v>
      </c>
      <c r="H82" s="35">
        <v>130</v>
      </c>
      <c r="I82" s="35">
        <v>150</v>
      </c>
      <c r="J82" s="35">
        <v>150</v>
      </c>
      <c r="K82" s="35" t="s">
        <v>372</v>
      </c>
      <c r="L82" s="35">
        <v>140</v>
      </c>
      <c r="M82" s="35" t="s">
        <v>372</v>
      </c>
      <c r="N82" s="35">
        <v>180</v>
      </c>
      <c r="P82" s="35" t="s">
        <v>342</v>
      </c>
      <c r="R82"/>
    </row>
    <row r="83" ht="14.5" spans="1:18">
      <c r="A83" s="35" t="s">
        <v>328</v>
      </c>
      <c r="B83" s="12" t="str">
        <f t="shared" si="1"/>
        <v>\I: EN_Concentrating solar power</v>
      </c>
      <c r="C83" s="35" t="s">
        <v>107</v>
      </c>
      <c r="D83" s="35">
        <v>2022</v>
      </c>
      <c r="F83" s="35">
        <v>5050</v>
      </c>
      <c r="G83" s="35">
        <v>5350</v>
      </c>
      <c r="H83" s="35">
        <v>4900</v>
      </c>
      <c r="I83" s="35">
        <v>5650</v>
      </c>
      <c r="J83" s="35">
        <v>5700</v>
      </c>
      <c r="K83" s="35" t="s">
        <v>372</v>
      </c>
      <c r="L83" s="35">
        <v>5250</v>
      </c>
      <c r="M83" s="35" t="s">
        <v>372</v>
      </c>
      <c r="N83" s="35">
        <v>6500</v>
      </c>
      <c r="P83" s="35" t="s">
        <v>342</v>
      </c>
      <c r="R83"/>
    </row>
    <row r="84" ht="14.5" spans="1:18">
      <c r="A84" s="35" t="s">
        <v>328</v>
      </c>
      <c r="B84" s="12" t="str">
        <f t="shared" si="1"/>
        <v>\I: EN_Concentrating solar power</v>
      </c>
      <c r="C84" s="35" t="s">
        <v>107</v>
      </c>
      <c r="D84" s="35">
        <v>2030</v>
      </c>
      <c r="F84" s="35">
        <v>4450</v>
      </c>
      <c r="G84" s="35">
        <v>4650</v>
      </c>
      <c r="H84" s="35">
        <v>4200</v>
      </c>
      <c r="I84" s="35">
        <v>4950</v>
      </c>
      <c r="J84" s="35">
        <v>5000</v>
      </c>
      <c r="K84" s="35" t="s">
        <v>372</v>
      </c>
      <c r="L84" s="35">
        <v>4500</v>
      </c>
      <c r="M84" s="35" t="s">
        <v>372</v>
      </c>
      <c r="N84" s="35">
        <v>5850</v>
      </c>
      <c r="P84" s="35" t="s">
        <v>342</v>
      </c>
      <c r="R84"/>
    </row>
    <row r="85" ht="14.5" spans="1:18">
      <c r="A85" s="35" t="s">
        <v>328</v>
      </c>
      <c r="B85" s="12" t="str">
        <f t="shared" si="1"/>
        <v>\I: EN_Concentrating solar power</v>
      </c>
      <c r="C85" s="35" t="s">
        <v>107</v>
      </c>
      <c r="D85" s="35">
        <v>2050</v>
      </c>
      <c r="F85" s="35">
        <v>3450</v>
      </c>
      <c r="G85" s="35">
        <v>3450</v>
      </c>
      <c r="H85" s="35">
        <v>3250</v>
      </c>
      <c r="I85" s="35">
        <v>3850</v>
      </c>
      <c r="J85" s="35">
        <v>3800</v>
      </c>
      <c r="K85" s="35" t="s">
        <v>372</v>
      </c>
      <c r="L85" s="35">
        <v>3400</v>
      </c>
      <c r="M85" s="35" t="s">
        <v>372</v>
      </c>
      <c r="N85" s="35">
        <v>4550</v>
      </c>
      <c r="P85" s="35" t="s">
        <v>342</v>
      </c>
      <c r="R85"/>
    </row>
    <row r="86" ht="14.5" spans="1:18">
      <c r="A86" s="35" t="s">
        <v>328</v>
      </c>
      <c r="B86" s="12" t="str">
        <f t="shared" si="1"/>
        <v>\I: EN_Fuel cell (distributed electricity generation)</v>
      </c>
      <c r="C86" s="35" t="s">
        <v>329</v>
      </c>
      <c r="D86" s="35">
        <v>2022</v>
      </c>
      <c r="F86" s="35">
        <v>0.46</v>
      </c>
      <c r="G86" s="35">
        <v>0.46</v>
      </c>
      <c r="H86" s="35">
        <v>0.46</v>
      </c>
      <c r="I86" s="35">
        <v>0.46</v>
      </c>
      <c r="J86" s="35">
        <v>0.46</v>
      </c>
      <c r="K86" s="35">
        <v>0.46</v>
      </c>
      <c r="L86" s="35">
        <v>0.46</v>
      </c>
      <c r="M86" s="35">
        <v>0.46</v>
      </c>
      <c r="N86" s="35">
        <v>0.46</v>
      </c>
      <c r="P86" s="35" t="s">
        <v>344</v>
      </c>
      <c r="R86"/>
    </row>
    <row r="87" ht="14.5" spans="1:18">
      <c r="A87" s="35" t="s">
        <v>328</v>
      </c>
      <c r="B87" s="12" t="str">
        <f t="shared" si="1"/>
        <v>\I: EN_Fuel cell (distributed electricity generation)</v>
      </c>
      <c r="C87" s="35" t="s">
        <v>329</v>
      </c>
      <c r="D87" s="35">
        <v>2030</v>
      </c>
      <c r="F87" s="35">
        <v>0.54</v>
      </c>
      <c r="G87" s="35">
        <v>0.54</v>
      </c>
      <c r="H87" s="35">
        <v>0.54</v>
      </c>
      <c r="I87" s="35">
        <v>0.54</v>
      </c>
      <c r="J87" s="35">
        <v>0.54</v>
      </c>
      <c r="K87" s="35">
        <v>0.54</v>
      </c>
      <c r="L87" s="35">
        <v>0.54</v>
      </c>
      <c r="M87" s="35">
        <v>0.54</v>
      </c>
      <c r="N87" s="35">
        <v>0.54</v>
      </c>
      <c r="P87" s="35" t="s">
        <v>344</v>
      </c>
      <c r="R87"/>
    </row>
    <row r="88" ht="14.5" spans="1:18">
      <c r="A88" s="35" t="s">
        <v>328</v>
      </c>
      <c r="B88" s="12" t="str">
        <f t="shared" si="1"/>
        <v>\I: EN_Fuel cell (distributed electricity generation)</v>
      </c>
      <c r="C88" s="35" t="s">
        <v>329</v>
      </c>
      <c r="D88" s="35">
        <v>2050</v>
      </c>
      <c r="F88" s="35">
        <v>0.6</v>
      </c>
      <c r="G88" s="35">
        <v>0.6</v>
      </c>
      <c r="H88" s="35">
        <v>0.6</v>
      </c>
      <c r="I88" s="35">
        <v>0.6</v>
      </c>
      <c r="J88" s="35">
        <v>0.6</v>
      </c>
      <c r="K88" s="35">
        <v>0.6</v>
      </c>
      <c r="L88" s="35">
        <v>0.6</v>
      </c>
      <c r="M88" s="35">
        <v>0.6</v>
      </c>
      <c r="N88" s="35">
        <v>0.6</v>
      </c>
      <c r="P88" s="35" t="s">
        <v>344</v>
      </c>
      <c r="R88"/>
    </row>
    <row r="89" ht="14.5" spans="1:18">
      <c r="A89" s="35" t="s">
        <v>328</v>
      </c>
      <c r="B89" s="12" t="str">
        <f t="shared" si="1"/>
        <v>\I: EN_Fuel cell (distributed electricity generation)</v>
      </c>
      <c r="C89" s="35" t="s">
        <v>336</v>
      </c>
      <c r="D89" s="35">
        <v>2022</v>
      </c>
      <c r="F89" s="35">
        <v>150</v>
      </c>
      <c r="G89" s="35">
        <v>150</v>
      </c>
      <c r="H89" s="35">
        <v>150</v>
      </c>
      <c r="I89" s="35">
        <v>100</v>
      </c>
      <c r="J89" s="35">
        <v>150</v>
      </c>
      <c r="K89" s="35">
        <v>100</v>
      </c>
      <c r="L89" s="35">
        <v>150</v>
      </c>
      <c r="M89" s="35">
        <v>150</v>
      </c>
      <c r="N89" s="35">
        <v>100</v>
      </c>
      <c r="P89" s="35" t="s">
        <v>344</v>
      </c>
      <c r="R89"/>
    </row>
    <row r="90" ht="14.5" spans="1:18">
      <c r="A90" s="35" t="s">
        <v>328</v>
      </c>
      <c r="B90" s="12" t="str">
        <f t="shared" si="1"/>
        <v>\I: EN_Fuel cell (distributed electricity generation)</v>
      </c>
      <c r="C90" s="35" t="s">
        <v>336</v>
      </c>
      <c r="D90" s="35">
        <v>2030</v>
      </c>
      <c r="F90" s="35">
        <v>75</v>
      </c>
      <c r="G90" s="35">
        <v>75</v>
      </c>
      <c r="H90" s="35">
        <v>75</v>
      </c>
      <c r="I90" s="35">
        <v>50</v>
      </c>
      <c r="J90" s="35">
        <v>75</v>
      </c>
      <c r="K90" s="35">
        <v>50</v>
      </c>
      <c r="L90" s="35">
        <v>75</v>
      </c>
      <c r="M90" s="35">
        <v>75</v>
      </c>
      <c r="N90" s="35">
        <v>50</v>
      </c>
      <c r="P90" s="35" t="s">
        <v>344</v>
      </c>
      <c r="R90"/>
    </row>
    <row r="91" ht="14.5" spans="1:18">
      <c r="A91" s="35" t="s">
        <v>328</v>
      </c>
      <c r="B91" s="12" t="str">
        <f t="shared" si="1"/>
        <v>\I: EN_Fuel cell (distributed electricity generation)</v>
      </c>
      <c r="C91" s="35" t="s">
        <v>336</v>
      </c>
      <c r="D91" s="35">
        <v>2050</v>
      </c>
      <c r="F91" s="35">
        <v>75</v>
      </c>
      <c r="G91" s="35">
        <v>75</v>
      </c>
      <c r="H91" s="35">
        <v>75</v>
      </c>
      <c r="I91" s="35">
        <v>50</v>
      </c>
      <c r="J91" s="35">
        <v>75</v>
      </c>
      <c r="K91" s="35">
        <v>50</v>
      </c>
      <c r="L91" s="35">
        <v>75</v>
      </c>
      <c r="M91" s="35">
        <v>75</v>
      </c>
      <c r="N91" s="35">
        <v>50</v>
      </c>
      <c r="P91" s="35" t="s">
        <v>344</v>
      </c>
      <c r="R91"/>
    </row>
    <row r="92" ht="14.5" spans="1:18">
      <c r="A92" s="35" t="s">
        <v>328</v>
      </c>
      <c r="B92" s="12" t="str">
        <f t="shared" si="1"/>
        <v>\I: EN_Fuel cell (distributed electricity generation)</v>
      </c>
      <c r="C92" s="35" t="s">
        <v>107</v>
      </c>
      <c r="D92" s="35">
        <v>2022</v>
      </c>
      <c r="F92" s="35">
        <v>5000</v>
      </c>
      <c r="G92" s="35">
        <v>5000</v>
      </c>
      <c r="H92" s="35">
        <v>5000</v>
      </c>
      <c r="I92" s="35">
        <v>5000</v>
      </c>
      <c r="J92" s="35">
        <v>5000</v>
      </c>
      <c r="K92" s="35">
        <v>5000</v>
      </c>
      <c r="L92" s="35">
        <v>5000</v>
      </c>
      <c r="M92" s="35">
        <v>5000</v>
      </c>
      <c r="N92" s="35">
        <v>5000</v>
      </c>
      <c r="P92" s="35" t="s">
        <v>344</v>
      </c>
      <c r="R92"/>
    </row>
    <row r="93" ht="14.5" spans="1:18">
      <c r="A93" s="35" t="s">
        <v>328</v>
      </c>
      <c r="B93" s="12" t="str">
        <f t="shared" si="1"/>
        <v>\I: EN_Fuel cell (distributed electricity generation)</v>
      </c>
      <c r="C93" s="35" t="s">
        <v>107</v>
      </c>
      <c r="D93" s="35">
        <v>2030</v>
      </c>
      <c r="F93" s="35">
        <v>2500</v>
      </c>
      <c r="G93" s="35">
        <v>2500</v>
      </c>
      <c r="H93" s="35">
        <v>2500</v>
      </c>
      <c r="I93" s="35">
        <v>2500</v>
      </c>
      <c r="J93" s="35">
        <v>2500</v>
      </c>
      <c r="K93" s="35">
        <v>2500</v>
      </c>
      <c r="L93" s="35">
        <v>2500</v>
      </c>
      <c r="M93" s="35">
        <v>2500</v>
      </c>
      <c r="N93" s="35">
        <v>2500</v>
      </c>
      <c r="P93" s="35" t="s">
        <v>344</v>
      </c>
      <c r="R93"/>
    </row>
    <row r="94" ht="14.5" spans="1:18">
      <c r="A94" s="35" t="s">
        <v>328</v>
      </c>
      <c r="B94" s="12" t="str">
        <f t="shared" si="1"/>
        <v>\I: EN_Fuel cell (distributed electricity generation)</v>
      </c>
      <c r="C94" s="35" t="s">
        <v>107</v>
      </c>
      <c r="D94" s="35">
        <v>2050</v>
      </c>
      <c r="F94" s="35">
        <v>2500</v>
      </c>
      <c r="G94" s="35">
        <v>2500</v>
      </c>
      <c r="H94" s="35">
        <v>2500</v>
      </c>
      <c r="I94" s="35">
        <v>2500</v>
      </c>
      <c r="J94" s="35">
        <v>2500</v>
      </c>
      <c r="K94" s="35">
        <v>2500</v>
      </c>
      <c r="L94" s="35">
        <v>2500</v>
      </c>
      <c r="M94" s="35">
        <v>2500</v>
      </c>
      <c r="N94" s="35">
        <v>2500</v>
      </c>
      <c r="P94" s="35" t="s">
        <v>344</v>
      </c>
      <c r="R94"/>
    </row>
    <row r="95" ht="14.5" spans="1:18">
      <c r="A95" s="35" t="s">
        <v>328</v>
      </c>
      <c r="B95" s="12" t="str">
        <f t="shared" si="1"/>
        <v>EN_Gas turbine</v>
      </c>
      <c r="C95" s="35" t="s">
        <v>329</v>
      </c>
      <c r="D95" s="35">
        <v>2022</v>
      </c>
      <c r="F95" s="35">
        <v>0.38</v>
      </c>
      <c r="G95" s="35">
        <v>0.38</v>
      </c>
      <c r="H95" s="35">
        <v>0.38</v>
      </c>
      <c r="I95" s="35">
        <v>0.4</v>
      </c>
      <c r="J95" s="35">
        <v>0.38</v>
      </c>
      <c r="K95" s="35">
        <v>0.4</v>
      </c>
      <c r="L95" s="35">
        <v>0.38</v>
      </c>
      <c r="M95" s="35">
        <v>0.38</v>
      </c>
      <c r="N95" s="35">
        <v>0.4</v>
      </c>
      <c r="P95" s="35" t="s">
        <v>346</v>
      </c>
      <c r="R95"/>
    </row>
    <row r="96" ht="14.5" spans="1:18">
      <c r="A96" s="35" t="s">
        <v>328</v>
      </c>
      <c r="B96" s="12" t="str">
        <f t="shared" si="1"/>
        <v>EN_Gas turbine</v>
      </c>
      <c r="C96" s="35" t="s">
        <v>329</v>
      </c>
      <c r="D96" s="35">
        <v>2030</v>
      </c>
      <c r="F96" s="35">
        <v>0.39</v>
      </c>
      <c r="G96" s="35">
        <v>0.39</v>
      </c>
      <c r="H96" s="35">
        <v>0.39</v>
      </c>
      <c r="I96" s="35">
        <v>0.41</v>
      </c>
      <c r="J96" s="35">
        <v>0.39</v>
      </c>
      <c r="K96" s="35">
        <v>0.41</v>
      </c>
      <c r="L96" s="35">
        <v>0.39</v>
      </c>
      <c r="M96" s="35">
        <v>0.39</v>
      </c>
      <c r="N96" s="35">
        <v>0.41</v>
      </c>
      <c r="P96" s="35" t="s">
        <v>346</v>
      </c>
      <c r="R96"/>
    </row>
    <row r="97" ht="14.5" spans="1:18">
      <c r="A97" s="35" t="s">
        <v>328</v>
      </c>
      <c r="B97" s="12" t="str">
        <f t="shared" si="1"/>
        <v>EN_Gas turbine</v>
      </c>
      <c r="C97" s="35" t="s">
        <v>329</v>
      </c>
      <c r="D97" s="35">
        <v>2050</v>
      </c>
      <c r="F97" s="35">
        <v>0.41</v>
      </c>
      <c r="G97" s="35">
        <v>0.41</v>
      </c>
      <c r="H97" s="35">
        <v>0.41</v>
      </c>
      <c r="I97" s="35">
        <v>0.42</v>
      </c>
      <c r="J97" s="35">
        <v>0.41</v>
      </c>
      <c r="K97" s="35">
        <v>0.42</v>
      </c>
      <c r="L97" s="35">
        <v>0.41</v>
      </c>
      <c r="M97" s="35">
        <v>0.41</v>
      </c>
      <c r="N97" s="35">
        <v>0.42</v>
      </c>
      <c r="P97" s="35" t="s">
        <v>346</v>
      </c>
      <c r="R97"/>
    </row>
    <row r="98" ht="14.5" spans="1:18">
      <c r="A98" s="35" t="s">
        <v>328</v>
      </c>
      <c r="B98" s="12" t="str">
        <f t="shared" si="1"/>
        <v>EN_Gas turbine</v>
      </c>
      <c r="C98" s="35" t="s">
        <v>336</v>
      </c>
      <c r="D98" s="35">
        <v>2022</v>
      </c>
      <c r="F98" s="35">
        <v>20</v>
      </c>
      <c r="G98" s="35">
        <v>20</v>
      </c>
      <c r="H98" s="35">
        <v>20</v>
      </c>
      <c r="I98" s="35">
        <v>20</v>
      </c>
      <c r="J98" s="35">
        <v>20</v>
      </c>
      <c r="K98" s="35">
        <v>20</v>
      </c>
      <c r="L98" s="35">
        <v>25</v>
      </c>
      <c r="M98" s="35">
        <v>25</v>
      </c>
      <c r="N98" s="35">
        <v>20</v>
      </c>
      <c r="P98" s="35" t="s">
        <v>346</v>
      </c>
      <c r="R98"/>
    </row>
    <row r="99" ht="14.5" spans="1:18">
      <c r="A99" s="35" t="s">
        <v>328</v>
      </c>
      <c r="B99" s="12" t="str">
        <f t="shared" si="1"/>
        <v>EN_Gas turbine</v>
      </c>
      <c r="C99" s="35" t="s">
        <v>336</v>
      </c>
      <c r="D99" s="35">
        <v>2030</v>
      </c>
      <c r="F99" s="35">
        <v>20</v>
      </c>
      <c r="G99" s="35">
        <v>20</v>
      </c>
      <c r="H99" s="35">
        <v>20</v>
      </c>
      <c r="I99" s="35">
        <v>20</v>
      </c>
      <c r="J99" s="35">
        <v>20</v>
      </c>
      <c r="K99" s="35">
        <v>20</v>
      </c>
      <c r="L99" s="35">
        <v>25</v>
      </c>
      <c r="M99" s="35">
        <v>25</v>
      </c>
      <c r="N99" s="35">
        <v>20</v>
      </c>
      <c r="P99" s="35" t="s">
        <v>346</v>
      </c>
      <c r="R99"/>
    </row>
    <row r="100" ht="14.5" spans="1:18">
      <c r="A100" s="35" t="s">
        <v>328</v>
      </c>
      <c r="B100" s="12" t="str">
        <f t="shared" si="1"/>
        <v>EN_Gas turbine</v>
      </c>
      <c r="C100" s="35" t="s">
        <v>336</v>
      </c>
      <c r="D100" s="35">
        <v>2050</v>
      </c>
      <c r="F100" s="35">
        <v>20</v>
      </c>
      <c r="G100" s="35">
        <v>20</v>
      </c>
      <c r="H100" s="35">
        <v>20</v>
      </c>
      <c r="I100" s="35">
        <v>20</v>
      </c>
      <c r="J100" s="35">
        <v>20</v>
      </c>
      <c r="K100" s="35">
        <v>20</v>
      </c>
      <c r="L100" s="35">
        <v>25</v>
      </c>
      <c r="M100" s="35">
        <v>25</v>
      </c>
      <c r="N100" s="35">
        <v>20</v>
      </c>
      <c r="P100" s="35" t="s">
        <v>346</v>
      </c>
      <c r="R100"/>
    </row>
    <row r="101" ht="14.5" spans="1:18">
      <c r="A101" s="35" t="s">
        <v>328</v>
      </c>
      <c r="B101" s="12" t="str">
        <f t="shared" si="1"/>
        <v>EN_Gas turbine</v>
      </c>
      <c r="C101" s="35" t="s">
        <v>107</v>
      </c>
      <c r="D101" s="35">
        <v>2022</v>
      </c>
      <c r="F101" s="35">
        <v>400</v>
      </c>
      <c r="G101" s="35">
        <v>400</v>
      </c>
      <c r="H101" s="35">
        <v>350</v>
      </c>
      <c r="I101" s="35">
        <v>500</v>
      </c>
      <c r="J101" s="35">
        <v>400</v>
      </c>
      <c r="K101" s="35">
        <v>500</v>
      </c>
      <c r="L101" s="35">
        <v>450</v>
      </c>
      <c r="M101" s="35">
        <v>450</v>
      </c>
      <c r="N101" s="35">
        <v>500</v>
      </c>
      <c r="P101" s="35" t="s">
        <v>346</v>
      </c>
      <c r="R101"/>
    </row>
    <row r="102" ht="14.5" spans="1:18">
      <c r="A102" s="35" t="s">
        <v>328</v>
      </c>
      <c r="B102" s="12" t="str">
        <f t="shared" si="1"/>
        <v>EN_Gas turbine</v>
      </c>
      <c r="C102" s="35" t="s">
        <v>107</v>
      </c>
      <c r="D102" s="35">
        <v>2030</v>
      </c>
      <c r="F102" s="35">
        <v>400</v>
      </c>
      <c r="G102" s="35">
        <v>400</v>
      </c>
      <c r="H102" s="35">
        <v>350</v>
      </c>
      <c r="I102" s="35">
        <v>500</v>
      </c>
      <c r="J102" s="35">
        <v>400</v>
      </c>
      <c r="K102" s="35">
        <v>500</v>
      </c>
      <c r="L102" s="35">
        <v>450</v>
      </c>
      <c r="M102" s="35">
        <v>450</v>
      </c>
      <c r="N102" s="35">
        <v>500</v>
      </c>
      <c r="P102" s="35" t="s">
        <v>346</v>
      </c>
      <c r="R102"/>
    </row>
    <row r="103" ht="14.5" spans="1:18">
      <c r="A103" s="35" t="s">
        <v>328</v>
      </c>
      <c r="B103" s="12" t="str">
        <f t="shared" si="1"/>
        <v>EN_Gas turbine</v>
      </c>
      <c r="C103" s="35" t="s">
        <v>107</v>
      </c>
      <c r="D103" s="35">
        <v>2050</v>
      </c>
      <c r="F103" s="35">
        <v>400</v>
      </c>
      <c r="G103" s="35">
        <v>400</v>
      </c>
      <c r="H103" s="35">
        <v>350</v>
      </c>
      <c r="I103" s="35">
        <v>500</v>
      </c>
      <c r="J103" s="35">
        <v>400</v>
      </c>
      <c r="K103" s="35">
        <v>500</v>
      </c>
      <c r="L103" s="35">
        <v>450</v>
      </c>
      <c r="M103" s="35">
        <v>450</v>
      </c>
      <c r="N103" s="35">
        <v>500</v>
      </c>
      <c r="P103" s="35" t="s">
        <v>346</v>
      </c>
      <c r="R103"/>
    </row>
    <row r="104" ht="14.5" spans="1:18">
      <c r="A104" s="35" t="s">
        <v>328</v>
      </c>
      <c r="B104" s="12" t="str">
        <f t="shared" si="1"/>
        <v>EN_Geothermal</v>
      </c>
      <c r="C104" s="35" t="s">
        <v>329</v>
      </c>
      <c r="D104" s="35">
        <v>2022</v>
      </c>
      <c r="F104" s="35">
        <v>0.1</v>
      </c>
      <c r="G104" s="35" t="s">
        <v>372</v>
      </c>
      <c r="H104" s="35">
        <v>0.1</v>
      </c>
      <c r="I104" s="35">
        <v>0.1</v>
      </c>
      <c r="J104" s="35">
        <v>0.1</v>
      </c>
      <c r="K104" s="35">
        <v>0.1</v>
      </c>
      <c r="L104" s="35">
        <v>0.1</v>
      </c>
      <c r="M104" s="35">
        <v>0.1</v>
      </c>
      <c r="N104" s="35">
        <v>0.1</v>
      </c>
      <c r="P104" s="35" t="s">
        <v>347</v>
      </c>
      <c r="R104"/>
    </row>
    <row r="105" ht="14.5" spans="1:18">
      <c r="A105" s="35" t="s">
        <v>328</v>
      </c>
      <c r="B105" s="12" t="str">
        <f t="shared" si="1"/>
        <v>EN_Geothermal</v>
      </c>
      <c r="C105" s="35" t="s">
        <v>329</v>
      </c>
      <c r="D105" s="35">
        <v>2030</v>
      </c>
      <c r="F105" s="35">
        <v>0.1</v>
      </c>
      <c r="G105" s="35" t="s">
        <v>372</v>
      </c>
      <c r="H105" s="35">
        <v>0.1</v>
      </c>
      <c r="I105" s="35">
        <v>0.1</v>
      </c>
      <c r="J105" s="35">
        <v>0.1</v>
      </c>
      <c r="K105" s="35">
        <v>0.1</v>
      </c>
      <c r="L105" s="35">
        <v>0.1</v>
      </c>
      <c r="M105" s="35">
        <v>0.1</v>
      </c>
      <c r="N105" s="35">
        <v>0.1</v>
      </c>
      <c r="P105" s="35" t="s">
        <v>347</v>
      </c>
      <c r="R105"/>
    </row>
    <row r="106" ht="14.5" spans="1:18">
      <c r="A106" s="35" t="s">
        <v>328</v>
      </c>
      <c r="B106" s="12" t="str">
        <f t="shared" si="1"/>
        <v>EN_Geothermal</v>
      </c>
      <c r="C106" s="35" t="s">
        <v>329</v>
      </c>
      <c r="D106" s="35">
        <v>2050</v>
      </c>
      <c r="F106" s="35">
        <v>0.1</v>
      </c>
      <c r="G106" s="35" t="s">
        <v>372</v>
      </c>
      <c r="H106" s="35">
        <v>0.1</v>
      </c>
      <c r="I106" s="35">
        <v>0.1</v>
      </c>
      <c r="J106" s="35">
        <v>0.1</v>
      </c>
      <c r="K106" s="35">
        <v>0.1</v>
      </c>
      <c r="L106" s="35">
        <v>0.1</v>
      </c>
      <c r="M106" s="35">
        <v>0.1</v>
      </c>
      <c r="N106" s="35">
        <v>0.1</v>
      </c>
      <c r="P106" s="35" t="s">
        <v>347</v>
      </c>
      <c r="R106"/>
    </row>
    <row r="107" ht="14.5" spans="1:18">
      <c r="A107" s="35" t="s">
        <v>328</v>
      </c>
      <c r="B107" s="12" t="str">
        <f t="shared" si="1"/>
        <v>EN_Geothermal</v>
      </c>
      <c r="C107" s="35" t="s">
        <v>336</v>
      </c>
      <c r="D107" s="35">
        <v>2022</v>
      </c>
      <c r="F107" s="35">
        <v>60</v>
      </c>
      <c r="G107" s="35" t="s">
        <v>372</v>
      </c>
      <c r="H107" s="35">
        <v>45</v>
      </c>
      <c r="I107" s="35">
        <v>55</v>
      </c>
      <c r="J107" s="35">
        <v>70</v>
      </c>
      <c r="K107" s="35">
        <v>55</v>
      </c>
      <c r="L107" s="35">
        <v>45</v>
      </c>
      <c r="M107" s="35">
        <v>45</v>
      </c>
      <c r="N107" s="35">
        <v>45</v>
      </c>
      <c r="P107" s="35" t="s">
        <v>347</v>
      </c>
      <c r="R107"/>
    </row>
    <row r="108" ht="14.5" spans="1:18">
      <c r="A108" s="35" t="s">
        <v>328</v>
      </c>
      <c r="B108" s="12" t="str">
        <f t="shared" si="1"/>
        <v>EN_Geothermal</v>
      </c>
      <c r="C108" s="35" t="s">
        <v>336</v>
      </c>
      <c r="D108" s="35">
        <v>2030</v>
      </c>
      <c r="F108" s="35">
        <v>60</v>
      </c>
      <c r="G108" s="35" t="s">
        <v>372</v>
      </c>
      <c r="H108" s="35">
        <v>45</v>
      </c>
      <c r="I108" s="35">
        <v>55</v>
      </c>
      <c r="J108" s="35">
        <v>70</v>
      </c>
      <c r="K108" s="35">
        <v>55</v>
      </c>
      <c r="L108" s="35">
        <v>40</v>
      </c>
      <c r="M108" s="35">
        <v>40</v>
      </c>
      <c r="N108" s="35">
        <v>40</v>
      </c>
      <c r="P108" s="35" t="s">
        <v>347</v>
      </c>
      <c r="R108"/>
    </row>
    <row r="109" ht="14.5" spans="1:18">
      <c r="A109" s="35" t="s">
        <v>328</v>
      </c>
      <c r="B109" s="12" t="str">
        <f t="shared" si="1"/>
        <v>EN_Geothermal</v>
      </c>
      <c r="C109" s="35" t="s">
        <v>336</v>
      </c>
      <c r="D109" s="35">
        <v>2050</v>
      </c>
      <c r="F109" s="35">
        <v>55</v>
      </c>
      <c r="G109" s="35" t="s">
        <v>372</v>
      </c>
      <c r="H109" s="35">
        <v>40</v>
      </c>
      <c r="I109" s="35">
        <v>50</v>
      </c>
      <c r="J109" s="35">
        <v>65</v>
      </c>
      <c r="K109" s="35">
        <v>50</v>
      </c>
      <c r="L109" s="35">
        <v>40</v>
      </c>
      <c r="M109" s="35">
        <v>40</v>
      </c>
      <c r="N109" s="35">
        <v>40</v>
      </c>
      <c r="P109" s="35" t="s">
        <v>347</v>
      </c>
      <c r="R109"/>
    </row>
    <row r="110" ht="14.5" spans="1:18">
      <c r="A110" s="35" t="s">
        <v>328</v>
      </c>
      <c r="B110" s="12" t="str">
        <f t="shared" si="1"/>
        <v>EN_Geothermal</v>
      </c>
      <c r="C110" s="35" t="s">
        <v>107</v>
      </c>
      <c r="D110" s="35">
        <v>2022</v>
      </c>
      <c r="F110" s="35">
        <v>3050</v>
      </c>
      <c r="G110" s="35" t="s">
        <v>372</v>
      </c>
      <c r="H110" s="35">
        <v>2300</v>
      </c>
      <c r="I110" s="35">
        <v>2850</v>
      </c>
      <c r="J110" s="35">
        <v>3600</v>
      </c>
      <c r="K110" s="35">
        <v>2800</v>
      </c>
      <c r="L110" s="35">
        <v>2200</v>
      </c>
      <c r="M110" s="35">
        <v>2200</v>
      </c>
      <c r="N110" s="35">
        <v>2150</v>
      </c>
      <c r="P110" s="35" t="s">
        <v>347</v>
      </c>
      <c r="R110"/>
    </row>
    <row r="111" ht="14.5" spans="1:18">
      <c r="A111" s="35" t="s">
        <v>328</v>
      </c>
      <c r="B111" s="12" t="str">
        <f t="shared" si="1"/>
        <v>EN_Geothermal</v>
      </c>
      <c r="C111" s="35" t="s">
        <v>107</v>
      </c>
      <c r="D111" s="35">
        <v>2030</v>
      </c>
      <c r="F111" s="35">
        <v>2900</v>
      </c>
      <c r="G111" s="35" t="s">
        <v>372</v>
      </c>
      <c r="H111" s="35">
        <v>2200</v>
      </c>
      <c r="I111" s="35">
        <v>2750</v>
      </c>
      <c r="J111" s="35">
        <v>3450</v>
      </c>
      <c r="K111" s="35">
        <v>2700</v>
      </c>
      <c r="L111" s="35">
        <v>2100</v>
      </c>
      <c r="M111" s="35">
        <v>2100</v>
      </c>
      <c r="N111" s="35">
        <v>2100</v>
      </c>
      <c r="P111" s="35" t="s">
        <v>347</v>
      </c>
      <c r="R111"/>
    </row>
    <row r="112" ht="14.5" spans="1:18">
      <c r="A112" s="35" t="s">
        <v>328</v>
      </c>
      <c r="B112" s="12" t="str">
        <f t="shared" si="1"/>
        <v>EN_Geothermal</v>
      </c>
      <c r="C112" s="35" t="s">
        <v>107</v>
      </c>
      <c r="D112" s="35">
        <v>2050</v>
      </c>
      <c r="F112" s="35">
        <v>2700</v>
      </c>
      <c r="G112" s="35" t="s">
        <v>372</v>
      </c>
      <c r="H112" s="35">
        <v>2000</v>
      </c>
      <c r="I112" s="35">
        <v>2550</v>
      </c>
      <c r="J112" s="35">
        <v>3200</v>
      </c>
      <c r="K112" s="35">
        <v>2500</v>
      </c>
      <c r="L112" s="35">
        <v>2000</v>
      </c>
      <c r="M112" s="35">
        <v>1950</v>
      </c>
      <c r="N112" s="35">
        <v>1950</v>
      </c>
      <c r="P112" s="35" t="s">
        <v>347</v>
      </c>
      <c r="R112"/>
    </row>
    <row r="113" ht="14.5" spans="1:18">
      <c r="A113" s="35" t="s">
        <v>328</v>
      </c>
      <c r="B113" s="12" t="str">
        <f t="shared" si="1"/>
        <v>EN_Hydro*</v>
      </c>
      <c r="C113" s="35" t="s">
        <v>329</v>
      </c>
      <c r="D113" s="35">
        <v>2022</v>
      </c>
      <c r="F113" s="35">
        <v>1</v>
      </c>
      <c r="G113" s="35">
        <v>1</v>
      </c>
      <c r="H113" s="35">
        <v>1</v>
      </c>
      <c r="I113" s="35">
        <v>1</v>
      </c>
      <c r="J113" s="35">
        <v>1</v>
      </c>
      <c r="K113" s="35">
        <v>1</v>
      </c>
      <c r="L113" s="35">
        <v>1</v>
      </c>
      <c r="M113" s="35">
        <v>1</v>
      </c>
      <c r="N113" s="35">
        <v>1</v>
      </c>
      <c r="P113" s="35" t="s">
        <v>348</v>
      </c>
      <c r="R113"/>
    </row>
    <row r="114" ht="14.5" spans="1:18">
      <c r="A114" s="35" t="s">
        <v>328</v>
      </c>
      <c r="B114" s="12" t="str">
        <f t="shared" si="1"/>
        <v>EN_Hydro*</v>
      </c>
      <c r="C114" s="35" t="s">
        <v>329</v>
      </c>
      <c r="D114" s="35">
        <v>2030</v>
      </c>
      <c r="F114" s="35">
        <v>1</v>
      </c>
      <c r="G114" s="35">
        <v>1</v>
      </c>
      <c r="H114" s="35">
        <v>1</v>
      </c>
      <c r="I114" s="35">
        <v>1</v>
      </c>
      <c r="J114" s="35">
        <v>1</v>
      </c>
      <c r="K114" s="35">
        <v>1</v>
      </c>
      <c r="L114" s="35">
        <v>1</v>
      </c>
      <c r="M114" s="35">
        <v>1</v>
      </c>
      <c r="N114" s="35">
        <v>1</v>
      </c>
      <c r="P114" s="35" t="s">
        <v>348</v>
      </c>
      <c r="R114"/>
    </row>
    <row r="115" ht="14.5" spans="1:18">
      <c r="A115" s="35" t="s">
        <v>328</v>
      </c>
      <c r="B115" s="12" t="str">
        <f t="shared" si="1"/>
        <v>EN_Hydro*</v>
      </c>
      <c r="C115" s="35" t="s">
        <v>329</v>
      </c>
      <c r="D115" s="35">
        <v>2050</v>
      </c>
      <c r="F115" s="35">
        <v>1</v>
      </c>
      <c r="G115" s="35">
        <v>1</v>
      </c>
      <c r="H115" s="35">
        <v>1</v>
      </c>
      <c r="I115" s="35">
        <v>1</v>
      </c>
      <c r="J115" s="35">
        <v>1</v>
      </c>
      <c r="K115" s="35">
        <v>1</v>
      </c>
      <c r="L115" s="35">
        <v>1</v>
      </c>
      <c r="M115" s="35">
        <v>1</v>
      </c>
      <c r="N115" s="35">
        <v>1</v>
      </c>
      <c r="P115" s="35" t="s">
        <v>348</v>
      </c>
      <c r="R115"/>
    </row>
    <row r="116" ht="14.5" spans="1:18">
      <c r="A116" s="35" t="s">
        <v>328</v>
      </c>
      <c r="B116" s="12" t="str">
        <f t="shared" si="1"/>
        <v>EN_Hydro*</v>
      </c>
      <c r="C116" s="35" t="s">
        <v>336</v>
      </c>
      <c r="D116" s="35">
        <v>2022</v>
      </c>
      <c r="F116" s="35">
        <v>50</v>
      </c>
      <c r="G116" s="35">
        <v>55</v>
      </c>
      <c r="H116" s="35">
        <v>40</v>
      </c>
      <c r="I116" s="35">
        <v>60</v>
      </c>
      <c r="J116" s="35">
        <v>50</v>
      </c>
      <c r="K116" s="35">
        <v>60</v>
      </c>
      <c r="L116" s="35">
        <v>55</v>
      </c>
      <c r="M116" s="35">
        <v>50</v>
      </c>
      <c r="N116" s="35">
        <v>65</v>
      </c>
      <c r="P116" s="35" t="s">
        <v>348</v>
      </c>
      <c r="R116"/>
    </row>
    <row r="117" ht="14.5" spans="1:18">
      <c r="A117" s="35" t="s">
        <v>328</v>
      </c>
      <c r="B117" s="12" t="str">
        <f t="shared" si="1"/>
        <v>EN_Hydro*</v>
      </c>
      <c r="C117" s="35" t="s">
        <v>336</v>
      </c>
      <c r="D117" s="35">
        <v>2030</v>
      </c>
      <c r="F117" s="35">
        <v>50</v>
      </c>
      <c r="G117" s="35">
        <v>50</v>
      </c>
      <c r="H117" s="35">
        <v>40</v>
      </c>
      <c r="I117" s="35">
        <v>60</v>
      </c>
      <c r="J117" s="35">
        <v>50</v>
      </c>
      <c r="K117" s="35">
        <v>60</v>
      </c>
      <c r="L117" s="35">
        <v>55</v>
      </c>
      <c r="M117" s="35">
        <v>50</v>
      </c>
      <c r="N117" s="35">
        <v>65</v>
      </c>
      <c r="P117" s="35" t="s">
        <v>348</v>
      </c>
      <c r="R117"/>
    </row>
    <row r="118" ht="14.5" spans="1:18">
      <c r="A118" s="35" t="s">
        <v>328</v>
      </c>
      <c r="B118" s="12" t="str">
        <f t="shared" si="1"/>
        <v>EN_Hydro*</v>
      </c>
      <c r="C118" s="35" t="s">
        <v>336</v>
      </c>
      <c r="D118" s="35">
        <v>2050</v>
      </c>
      <c r="F118" s="35">
        <v>50</v>
      </c>
      <c r="G118" s="35">
        <v>50</v>
      </c>
      <c r="H118" s="35">
        <v>40</v>
      </c>
      <c r="I118" s="35">
        <v>60</v>
      </c>
      <c r="J118" s="35">
        <v>50</v>
      </c>
      <c r="K118" s="35">
        <v>60</v>
      </c>
      <c r="L118" s="35">
        <v>50</v>
      </c>
      <c r="M118" s="35">
        <v>50</v>
      </c>
      <c r="N118" s="35">
        <v>65</v>
      </c>
      <c r="P118" s="35" t="s">
        <v>348</v>
      </c>
      <c r="R118"/>
    </row>
    <row r="119" ht="14.5" spans="1:18">
      <c r="A119" s="35" t="s">
        <v>328</v>
      </c>
      <c r="B119" s="12" t="str">
        <f t="shared" si="1"/>
        <v>EN_Hydro*</v>
      </c>
      <c r="C119" s="35" t="s">
        <v>107</v>
      </c>
      <c r="D119" s="35">
        <v>2022</v>
      </c>
      <c r="F119" s="35">
        <v>2100</v>
      </c>
      <c r="G119" s="35">
        <v>2100</v>
      </c>
      <c r="H119" s="35">
        <v>1600</v>
      </c>
      <c r="I119" s="35">
        <v>2650</v>
      </c>
      <c r="J119" s="35">
        <v>2000</v>
      </c>
      <c r="K119" s="35">
        <v>2400</v>
      </c>
      <c r="L119" s="35">
        <v>2150</v>
      </c>
      <c r="M119" s="35">
        <v>2050</v>
      </c>
      <c r="N119" s="35">
        <v>2700</v>
      </c>
      <c r="P119" s="35" t="s">
        <v>348</v>
      </c>
      <c r="R119"/>
    </row>
    <row r="120" ht="14.5" spans="1:18">
      <c r="A120" s="35" t="s">
        <v>328</v>
      </c>
      <c r="B120" s="12" t="str">
        <f t="shared" si="1"/>
        <v>EN_Hydro*</v>
      </c>
      <c r="C120" s="35" t="s">
        <v>107</v>
      </c>
      <c r="D120" s="35">
        <v>2030</v>
      </c>
      <c r="F120" s="35">
        <v>2100</v>
      </c>
      <c r="G120" s="35">
        <v>2100</v>
      </c>
      <c r="H120" s="35">
        <v>1600</v>
      </c>
      <c r="I120" s="35">
        <v>2650</v>
      </c>
      <c r="J120" s="35">
        <v>2000</v>
      </c>
      <c r="K120" s="35">
        <v>2400</v>
      </c>
      <c r="L120" s="35">
        <v>2150</v>
      </c>
      <c r="M120" s="35">
        <v>2050</v>
      </c>
      <c r="N120" s="35">
        <v>2700</v>
      </c>
      <c r="P120" s="35" t="s">
        <v>348</v>
      </c>
      <c r="R120"/>
    </row>
    <row r="121" ht="14.5" spans="1:18">
      <c r="A121" s="35" t="s">
        <v>328</v>
      </c>
      <c r="B121" s="12" t="str">
        <f t="shared" si="1"/>
        <v>EN_Hydro*</v>
      </c>
      <c r="C121" s="35" t="s">
        <v>107</v>
      </c>
      <c r="D121" s="35">
        <v>2050</v>
      </c>
      <c r="F121" s="35">
        <v>2100</v>
      </c>
      <c r="G121" s="35">
        <v>2100</v>
      </c>
      <c r="H121" s="35">
        <v>1600</v>
      </c>
      <c r="I121" s="35">
        <v>2650</v>
      </c>
      <c r="J121" s="35">
        <v>2000</v>
      </c>
      <c r="K121" s="35">
        <v>2400</v>
      </c>
      <c r="L121" s="35">
        <v>2150</v>
      </c>
      <c r="M121" s="35">
        <v>2050</v>
      </c>
      <c r="N121" s="35">
        <v>2700</v>
      </c>
      <c r="P121" s="35" t="s">
        <v>348</v>
      </c>
      <c r="R121"/>
    </row>
    <row r="122" ht="14.5" spans="1:18">
      <c r="A122" s="35" t="s">
        <v>328</v>
      </c>
      <c r="B122" s="12" t="str">
        <f t="shared" si="1"/>
        <v>\I: EN_Hydropower - small-scale unit</v>
      </c>
      <c r="C122" s="35" t="s">
        <v>329</v>
      </c>
      <c r="D122" s="35">
        <v>2022</v>
      </c>
      <c r="F122" s="35">
        <v>1</v>
      </c>
      <c r="G122" s="35">
        <v>1</v>
      </c>
      <c r="H122" s="35">
        <v>1</v>
      </c>
      <c r="I122" s="35">
        <v>1</v>
      </c>
      <c r="J122" s="35">
        <v>1</v>
      </c>
      <c r="K122" s="35">
        <v>1</v>
      </c>
      <c r="L122" s="35">
        <v>1</v>
      </c>
      <c r="M122" s="35">
        <v>1</v>
      </c>
      <c r="N122" s="35">
        <v>1</v>
      </c>
      <c r="P122" s="35" t="s">
        <v>350</v>
      </c>
      <c r="R122"/>
    </row>
    <row r="123" ht="14.5" spans="1:18">
      <c r="A123" s="35" t="s">
        <v>328</v>
      </c>
      <c r="B123" s="12" t="str">
        <f t="shared" si="1"/>
        <v>\I: EN_Hydropower - small-scale unit</v>
      </c>
      <c r="C123" s="35" t="s">
        <v>329</v>
      </c>
      <c r="D123" s="35">
        <v>2030</v>
      </c>
      <c r="F123" s="35">
        <v>1</v>
      </c>
      <c r="G123" s="35">
        <v>1</v>
      </c>
      <c r="H123" s="35">
        <v>1</v>
      </c>
      <c r="I123" s="35">
        <v>1</v>
      </c>
      <c r="J123" s="35">
        <v>1</v>
      </c>
      <c r="K123" s="35">
        <v>1</v>
      </c>
      <c r="L123" s="35">
        <v>1</v>
      </c>
      <c r="M123" s="35">
        <v>1</v>
      </c>
      <c r="N123" s="35">
        <v>1</v>
      </c>
      <c r="P123" s="35" t="s">
        <v>350</v>
      </c>
      <c r="R123"/>
    </row>
    <row r="124" ht="14.5" spans="1:18">
      <c r="A124" s="35" t="s">
        <v>328</v>
      </c>
      <c r="B124" s="12" t="str">
        <f t="shared" si="1"/>
        <v>\I: EN_Hydropower - small-scale unit</v>
      </c>
      <c r="C124" s="35" t="s">
        <v>329</v>
      </c>
      <c r="D124" s="35">
        <v>2050</v>
      </c>
      <c r="F124" s="35">
        <v>1</v>
      </c>
      <c r="G124" s="35">
        <v>1</v>
      </c>
      <c r="H124" s="35">
        <v>1</v>
      </c>
      <c r="I124" s="35">
        <v>1</v>
      </c>
      <c r="J124" s="35">
        <v>1</v>
      </c>
      <c r="K124" s="35">
        <v>1</v>
      </c>
      <c r="L124" s="35">
        <v>1</v>
      </c>
      <c r="M124" s="35">
        <v>1</v>
      </c>
      <c r="N124" s="35">
        <v>1</v>
      </c>
      <c r="P124" s="35" t="s">
        <v>350</v>
      </c>
      <c r="R124"/>
    </row>
    <row r="125" ht="14.5" spans="1:18">
      <c r="A125" s="35" t="s">
        <v>328</v>
      </c>
      <c r="B125" s="12" t="str">
        <f t="shared" si="1"/>
        <v>\I: EN_Hydropower - small-scale unit</v>
      </c>
      <c r="C125" s="35" t="s">
        <v>336</v>
      </c>
      <c r="D125" s="35">
        <v>2022</v>
      </c>
      <c r="F125" s="35">
        <v>65</v>
      </c>
      <c r="G125" s="35">
        <v>65</v>
      </c>
      <c r="H125" s="35">
        <v>40</v>
      </c>
      <c r="I125" s="35">
        <v>80</v>
      </c>
      <c r="J125" s="35">
        <v>60</v>
      </c>
      <c r="K125" s="35">
        <v>70</v>
      </c>
      <c r="L125" s="35">
        <v>70</v>
      </c>
      <c r="M125" s="35">
        <v>70</v>
      </c>
      <c r="N125" s="35">
        <v>80</v>
      </c>
      <c r="P125" s="35" t="s">
        <v>350</v>
      </c>
      <c r="R125"/>
    </row>
    <row r="126" ht="14.5" spans="1:18">
      <c r="A126" s="35" t="s">
        <v>328</v>
      </c>
      <c r="B126" s="12" t="str">
        <f t="shared" si="1"/>
        <v>\I: EN_Hydropower - small-scale unit</v>
      </c>
      <c r="C126" s="35" t="s">
        <v>336</v>
      </c>
      <c r="D126" s="35">
        <v>2030</v>
      </c>
      <c r="F126" s="35">
        <v>65</v>
      </c>
      <c r="G126" s="35">
        <v>65</v>
      </c>
      <c r="H126" s="35">
        <v>40</v>
      </c>
      <c r="I126" s="35">
        <v>80</v>
      </c>
      <c r="J126" s="35">
        <v>60</v>
      </c>
      <c r="K126" s="35">
        <v>70</v>
      </c>
      <c r="L126" s="35">
        <v>70</v>
      </c>
      <c r="M126" s="35">
        <v>70</v>
      </c>
      <c r="N126" s="35">
        <v>80</v>
      </c>
      <c r="P126" s="35" t="s">
        <v>350</v>
      </c>
      <c r="R126"/>
    </row>
    <row r="127" ht="14.5" spans="1:18">
      <c r="A127" s="35" t="s">
        <v>328</v>
      </c>
      <c r="B127" s="12" t="str">
        <f t="shared" si="1"/>
        <v>\I: EN_Hydropower - small-scale unit</v>
      </c>
      <c r="C127" s="35" t="s">
        <v>336</v>
      </c>
      <c r="D127" s="35">
        <v>2050</v>
      </c>
      <c r="F127" s="35">
        <v>65</v>
      </c>
      <c r="G127" s="35">
        <v>65</v>
      </c>
      <c r="H127" s="35">
        <v>40</v>
      </c>
      <c r="I127" s="35">
        <v>80</v>
      </c>
      <c r="J127" s="35">
        <v>60</v>
      </c>
      <c r="K127" s="35">
        <v>70</v>
      </c>
      <c r="L127" s="35">
        <v>70</v>
      </c>
      <c r="M127" s="35">
        <v>70</v>
      </c>
      <c r="N127" s="35">
        <v>80</v>
      </c>
      <c r="P127" s="35" t="s">
        <v>350</v>
      </c>
      <c r="R127"/>
    </row>
    <row r="128" ht="14.5" spans="1:18">
      <c r="A128" s="35" t="s">
        <v>328</v>
      </c>
      <c r="B128" s="12" t="str">
        <f t="shared" si="1"/>
        <v>\I: EN_Hydropower - small-scale unit</v>
      </c>
      <c r="C128" s="35" t="s">
        <v>107</v>
      </c>
      <c r="D128" s="35">
        <v>2022</v>
      </c>
      <c r="F128" s="35">
        <v>3300</v>
      </c>
      <c r="G128" s="35">
        <v>3350</v>
      </c>
      <c r="H128" s="35">
        <v>2000</v>
      </c>
      <c r="I128" s="35">
        <v>3900</v>
      </c>
      <c r="J128" s="35">
        <v>3050</v>
      </c>
      <c r="K128" s="35">
        <v>3550</v>
      </c>
      <c r="L128" s="35">
        <v>3400</v>
      </c>
      <c r="M128" s="35">
        <v>3500</v>
      </c>
      <c r="N128" s="35">
        <v>4050</v>
      </c>
      <c r="P128" s="35" t="s">
        <v>350</v>
      </c>
      <c r="R128"/>
    </row>
    <row r="129" ht="14.5" spans="1:18">
      <c r="A129" s="35" t="s">
        <v>328</v>
      </c>
      <c r="B129" s="12" t="str">
        <f t="shared" si="1"/>
        <v>\I: EN_Hydropower - small-scale unit</v>
      </c>
      <c r="C129" s="35" t="s">
        <v>107</v>
      </c>
      <c r="D129" s="35">
        <v>2030</v>
      </c>
      <c r="F129" s="35">
        <v>3300</v>
      </c>
      <c r="G129" s="35">
        <v>3350</v>
      </c>
      <c r="H129" s="35">
        <v>2000</v>
      </c>
      <c r="I129" s="35">
        <v>3900</v>
      </c>
      <c r="J129" s="35">
        <v>3050</v>
      </c>
      <c r="K129" s="35">
        <v>3550</v>
      </c>
      <c r="L129" s="35">
        <v>3400</v>
      </c>
      <c r="M129" s="35">
        <v>3500</v>
      </c>
      <c r="N129" s="35">
        <v>4050</v>
      </c>
      <c r="P129" s="35" t="s">
        <v>350</v>
      </c>
      <c r="R129"/>
    </row>
    <row r="130" ht="14.5" spans="1:18">
      <c r="A130" s="35" t="s">
        <v>328</v>
      </c>
      <c r="B130" s="12" t="str">
        <f t="shared" si="1"/>
        <v>\I: EN_Hydropower - small-scale unit</v>
      </c>
      <c r="C130" s="35" t="s">
        <v>107</v>
      </c>
      <c r="D130" s="35">
        <v>2050</v>
      </c>
      <c r="F130" s="35">
        <v>3250</v>
      </c>
      <c r="G130" s="35">
        <v>3350</v>
      </c>
      <c r="H130" s="35">
        <v>2000</v>
      </c>
      <c r="I130" s="35">
        <v>3900</v>
      </c>
      <c r="J130" s="35">
        <v>3050</v>
      </c>
      <c r="K130" s="35">
        <v>3550</v>
      </c>
      <c r="L130" s="35">
        <v>3400</v>
      </c>
      <c r="M130" s="35">
        <v>3500</v>
      </c>
      <c r="N130" s="35">
        <v>4050</v>
      </c>
      <c r="P130" s="35" t="s">
        <v>350</v>
      </c>
      <c r="R130"/>
    </row>
    <row r="131" ht="14.5" spans="1:18">
      <c r="A131" s="35" t="s">
        <v>328</v>
      </c>
      <c r="B131" s="12" t="str">
        <f t="shared" si="1"/>
        <v>EN_IGCC</v>
      </c>
      <c r="C131" s="35" t="s">
        <v>329</v>
      </c>
      <c r="D131" s="35">
        <v>2022</v>
      </c>
      <c r="F131" s="35">
        <v>0.4</v>
      </c>
      <c r="G131" s="35">
        <v>0.44</v>
      </c>
      <c r="H131" s="35">
        <v>0.43</v>
      </c>
      <c r="I131" s="35">
        <v>0.44</v>
      </c>
      <c r="J131" s="35">
        <v>0.41</v>
      </c>
      <c r="K131" s="35">
        <v>0.44</v>
      </c>
      <c r="L131" s="35">
        <v>0.42</v>
      </c>
      <c r="M131" s="35">
        <v>0.44</v>
      </c>
      <c r="N131" s="35">
        <v>0.44</v>
      </c>
      <c r="P131" s="35" t="s">
        <v>352</v>
      </c>
      <c r="R131"/>
    </row>
    <row r="132" ht="14.5" spans="1:18">
      <c r="A132" s="35" t="s">
        <v>328</v>
      </c>
      <c r="B132" s="12" t="str">
        <f t="shared" si="1"/>
        <v>EN_IGCC</v>
      </c>
      <c r="C132" s="35" t="s">
        <v>329</v>
      </c>
      <c r="D132" s="35">
        <v>2030</v>
      </c>
      <c r="F132" s="35">
        <v>0.43</v>
      </c>
      <c r="G132" s="35">
        <v>0.47</v>
      </c>
      <c r="H132" s="35">
        <v>0.46</v>
      </c>
      <c r="I132" s="35">
        <v>0.47</v>
      </c>
      <c r="J132" s="35">
        <v>0.44</v>
      </c>
      <c r="K132" s="35">
        <v>0.47</v>
      </c>
      <c r="L132" s="35">
        <v>0.45</v>
      </c>
      <c r="M132" s="35">
        <v>0.47</v>
      </c>
      <c r="N132" s="35">
        <v>0.47</v>
      </c>
      <c r="P132" s="35" t="s">
        <v>352</v>
      </c>
      <c r="R132"/>
    </row>
    <row r="133" ht="14.5" spans="1:18">
      <c r="A133" s="35" t="s">
        <v>328</v>
      </c>
      <c r="B133" s="12" t="str">
        <f t="shared" si="1"/>
        <v>EN_IGCC</v>
      </c>
      <c r="C133" s="35" t="s">
        <v>329</v>
      </c>
      <c r="D133" s="35">
        <v>2050</v>
      </c>
      <c r="F133" s="35">
        <v>0.45</v>
      </c>
      <c r="G133" s="35">
        <v>0.49</v>
      </c>
      <c r="H133" s="35">
        <v>0.49</v>
      </c>
      <c r="I133" s="35">
        <v>0.49</v>
      </c>
      <c r="J133" s="35">
        <v>0.47</v>
      </c>
      <c r="K133" s="35">
        <v>0.49</v>
      </c>
      <c r="L133" s="35">
        <v>0.47</v>
      </c>
      <c r="M133" s="35">
        <v>0.49</v>
      </c>
      <c r="N133" s="35">
        <v>0.49</v>
      </c>
      <c r="P133" s="35" t="s">
        <v>352</v>
      </c>
      <c r="R133"/>
    </row>
    <row r="134" ht="14.5" spans="1:18">
      <c r="A134" s="35" t="s">
        <v>328</v>
      </c>
      <c r="B134" s="12" t="str">
        <f t="shared" si="1"/>
        <v>EN_IGCC</v>
      </c>
      <c r="C134" s="35" t="s">
        <v>336</v>
      </c>
      <c r="D134" s="35">
        <v>2022</v>
      </c>
      <c r="F134" s="35">
        <v>90</v>
      </c>
      <c r="G134" s="35">
        <v>90</v>
      </c>
      <c r="H134" s="35">
        <v>50</v>
      </c>
      <c r="I134" s="35">
        <v>95</v>
      </c>
      <c r="J134" s="35">
        <v>70</v>
      </c>
      <c r="K134" s="35">
        <v>100</v>
      </c>
      <c r="L134" s="35">
        <v>90</v>
      </c>
      <c r="M134" s="35">
        <v>90</v>
      </c>
      <c r="N134" s="35">
        <v>90</v>
      </c>
      <c r="P134" s="35" t="s">
        <v>352</v>
      </c>
      <c r="R134"/>
    </row>
    <row r="135" ht="14.5" spans="1:18">
      <c r="A135" s="35" t="s">
        <v>328</v>
      </c>
      <c r="B135" s="12" t="str">
        <f t="shared" ref="B135:B198" si="2">VLOOKUP(P135,$Q$4:$R$33,2,FALSE)</f>
        <v>EN_IGCC</v>
      </c>
      <c r="C135" s="35" t="s">
        <v>336</v>
      </c>
      <c r="D135" s="35">
        <v>2030</v>
      </c>
      <c r="F135" s="35">
        <v>85</v>
      </c>
      <c r="G135" s="35">
        <v>85</v>
      </c>
      <c r="H135" s="35">
        <v>45</v>
      </c>
      <c r="I135" s="35">
        <v>85</v>
      </c>
      <c r="J135" s="35">
        <v>70</v>
      </c>
      <c r="K135" s="35">
        <v>95</v>
      </c>
      <c r="L135" s="35">
        <v>85</v>
      </c>
      <c r="M135" s="35">
        <v>85</v>
      </c>
      <c r="N135" s="35">
        <v>85</v>
      </c>
      <c r="P135" s="35" t="s">
        <v>352</v>
      </c>
      <c r="R135"/>
    </row>
    <row r="136" ht="14.5" spans="1:18">
      <c r="A136" s="35" t="s">
        <v>328</v>
      </c>
      <c r="B136" s="12" t="str">
        <f t="shared" si="2"/>
        <v>EN_IGCC</v>
      </c>
      <c r="C136" s="35" t="s">
        <v>336</v>
      </c>
      <c r="D136" s="35">
        <v>2050</v>
      </c>
      <c r="F136" s="35">
        <v>85</v>
      </c>
      <c r="G136" s="35">
        <v>85</v>
      </c>
      <c r="H136" s="35">
        <v>40</v>
      </c>
      <c r="I136" s="35">
        <v>80</v>
      </c>
      <c r="J136" s="35">
        <v>70</v>
      </c>
      <c r="K136" s="35">
        <v>95</v>
      </c>
      <c r="L136" s="35">
        <v>85</v>
      </c>
      <c r="M136" s="35">
        <v>80</v>
      </c>
      <c r="N136" s="35">
        <v>85</v>
      </c>
      <c r="P136" s="35" t="s">
        <v>352</v>
      </c>
      <c r="R136"/>
    </row>
    <row r="137" ht="14.5" spans="1:18">
      <c r="A137" s="35" t="s">
        <v>328</v>
      </c>
      <c r="B137" s="12" t="str">
        <f t="shared" si="2"/>
        <v>EN_IGCC</v>
      </c>
      <c r="C137" s="35" t="s">
        <v>107</v>
      </c>
      <c r="D137" s="35">
        <v>2022</v>
      </c>
      <c r="F137" s="35">
        <v>2200</v>
      </c>
      <c r="G137" s="35">
        <v>2000</v>
      </c>
      <c r="H137" s="35">
        <v>1100</v>
      </c>
      <c r="I137" s="35">
        <v>2500</v>
      </c>
      <c r="J137" s="35">
        <v>1600</v>
      </c>
      <c r="K137" s="35">
        <v>2900</v>
      </c>
      <c r="L137" s="35">
        <v>2000</v>
      </c>
      <c r="M137" s="35">
        <v>2500</v>
      </c>
      <c r="N137" s="35">
        <v>2600</v>
      </c>
      <c r="P137" s="35" t="s">
        <v>352</v>
      </c>
      <c r="R137"/>
    </row>
    <row r="138" ht="14.5" spans="1:18">
      <c r="A138" s="35" t="s">
        <v>328</v>
      </c>
      <c r="B138" s="12" t="str">
        <f t="shared" si="2"/>
        <v>EN_IGCC</v>
      </c>
      <c r="C138" s="35" t="s">
        <v>107</v>
      </c>
      <c r="D138" s="35">
        <v>2030</v>
      </c>
      <c r="F138" s="35">
        <v>2100</v>
      </c>
      <c r="G138" s="35">
        <v>1900</v>
      </c>
      <c r="H138" s="35">
        <v>1000</v>
      </c>
      <c r="I138" s="35">
        <v>2350</v>
      </c>
      <c r="J138" s="35">
        <v>1500</v>
      </c>
      <c r="K138" s="35">
        <v>2750</v>
      </c>
      <c r="L138" s="35">
        <v>1900</v>
      </c>
      <c r="M138" s="35">
        <v>2350</v>
      </c>
      <c r="N138" s="35">
        <v>2450</v>
      </c>
      <c r="P138" s="35" t="s">
        <v>352</v>
      </c>
      <c r="R138"/>
    </row>
    <row r="139" ht="14.5" spans="1:18">
      <c r="A139" s="35" t="s">
        <v>328</v>
      </c>
      <c r="B139" s="12" t="str">
        <f t="shared" si="2"/>
        <v>EN_IGCC</v>
      </c>
      <c r="C139" s="35" t="s">
        <v>107</v>
      </c>
      <c r="D139" s="35">
        <v>2050</v>
      </c>
      <c r="F139" s="35">
        <v>2100</v>
      </c>
      <c r="G139" s="35">
        <v>1900</v>
      </c>
      <c r="H139" s="35">
        <v>900</v>
      </c>
      <c r="I139" s="35">
        <v>2300</v>
      </c>
      <c r="J139" s="35">
        <v>1500</v>
      </c>
      <c r="K139" s="35">
        <v>2700</v>
      </c>
      <c r="L139" s="35">
        <v>1900</v>
      </c>
      <c r="M139" s="35">
        <v>2300</v>
      </c>
      <c r="N139" s="35">
        <v>2400</v>
      </c>
      <c r="P139" s="35" t="s">
        <v>352</v>
      </c>
      <c r="R139"/>
    </row>
    <row r="140" ht="14.5" spans="1:18">
      <c r="A140" s="35" t="s">
        <v>328</v>
      </c>
      <c r="B140" s="12" t="str">
        <f t="shared" si="2"/>
        <v>EN_IGCC + CCS</v>
      </c>
      <c r="C140" s="35" t="s">
        <v>329</v>
      </c>
      <c r="D140" s="35">
        <v>2022</v>
      </c>
      <c r="F140" s="35">
        <v>0.32</v>
      </c>
      <c r="G140" s="35" t="s">
        <v>372</v>
      </c>
      <c r="H140" s="35">
        <v>0.34</v>
      </c>
      <c r="I140" s="35">
        <v>0.35</v>
      </c>
      <c r="J140" s="35">
        <v>0.32</v>
      </c>
      <c r="K140" s="35">
        <v>0.35</v>
      </c>
      <c r="L140" s="35" t="s">
        <v>372</v>
      </c>
      <c r="M140" s="35">
        <v>0.35</v>
      </c>
      <c r="N140" s="35">
        <v>0.35</v>
      </c>
      <c r="P140" s="35" t="s">
        <v>353</v>
      </c>
      <c r="R140"/>
    </row>
    <row r="141" ht="14.5" spans="1:18">
      <c r="A141" s="35" t="s">
        <v>328</v>
      </c>
      <c r="B141" s="12" t="str">
        <f t="shared" si="2"/>
        <v>EN_IGCC + CCS</v>
      </c>
      <c r="C141" s="35" t="s">
        <v>329</v>
      </c>
      <c r="D141" s="35">
        <v>2030</v>
      </c>
      <c r="F141" s="35">
        <v>0.32</v>
      </c>
      <c r="G141" s="35" t="s">
        <v>372</v>
      </c>
      <c r="H141" s="35">
        <v>0.35</v>
      </c>
      <c r="I141" s="35">
        <v>0.36</v>
      </c>
      <c r="J141" s="35">
        <v>0.33</v>
      </c>
      <c r="K141" s="35">
        <v>0.36</v>
      </c>
      <c r="L141" s="35" t="s">
        <v>372</v>
      </c>
      <c r="M141" s="35">
        <v>0.36</v>
      </c>
      <c r="N141" s="35">
        <v>0.36</v>
      </c>
      <c r="P141" s="35" t="s">
        <v>353</v>
      </c>
      <c r="R141"/>
    </row>
    <row r="142" ht="14.5" spans="1:18">
      <c r="A142" s="35" t="s">
        <v>328</v>
      </c>
      <c r="B142" s="12" t="str">
        <f t="shared" si="2"/>
        <v>EN_IGCC + CCS</v>
      </c>
      <c r="C142" s="35" t="s">
        <v>329</v>
      </c>
      <c r="D142" s="35">
        <v>2050</v>
      </c>
      <c r="F142" s="35">
        <v>0.35</v>
      </c>
      <c r="G142" s="35" t="s">
        <v>372</v>
      </c>
      <c r="H142" s="35">
        <v>0.38</v>
      </c>
      <c r="I142" s="35">
        <v>0.39</v>
      </c>
      <c r="J142" s="35">
        <v>0.36</v>
      </c>
      <c r="K142" s="35">
        <v>0.39</v>
      </c>
      <c r="L142" s="35" t="s">
        <v>372</v>
      </c>
      <c r="M142" s="35">
        <v>0.39</v>
      </c>
      <c r="N142" s="35">
        <v>0.39</v>
      </c>
      <c r="P142" s="35" t="s">
        <v>353</v>
      </c>
      <c r="R142"/>
    </row>
    <row r="143" ht="14.5" spans="1:18">
      <c r="A143" s="35" t="s">
        <v>328</v>
      </c>
      <c r="B143" s="12" t="str">
        <f t="shared" si="2"/>
        <v>EN_IGCC + CCS</v>
      </c>
      <c r="C143" s="35" t="s">
        <v>336</v>
      </c>
      <c r="D143" s="35">
        <v>2022</v>
      </c>
      <c r="F143" s="35">
        <v>220</v>
      </c>
      <c r="G143" s="35">
        <v>205</v>
      </c>
      <c r="H143" s="35">
        <v>165</v>
      </c>
      <c r="I143" s="35">
        <v>205</v>
      </c>
      <c r="J143" s="35">
        <v>200</v>
      </c>
      <c r="K143" s="35">
        <v>220</v>
      </c>
      <c r="L143" s="35">
        <v>230</v>
      </c>
      <c r="M143" s="35">
        <v>190</v>
      </c>
      <c r="N143" s="35">
        <v>210</v>
      </c>
      <c r="P143" s="35" t="s">
        <v>353</v>
      </c>
      <c r="R143"/>
    </row>
    <row r="144" ht="14.5" spans="1:18">
      <c r="A144" s="35" t="s">
        <v>328</v>
      </c>
      <c r="B144" s="12" t="str">
        <f t="shared" si="2"/>
        <v>EN_IGCC + CCS</v>
      </c>
      <c r="C144" s="35" t="s">
        <v>336</v>
      </c>
      <c r="D144" s="35">
        <v>2030</v>
      </c>
      <c r="F144" s="35">
        <v>210</v>
      </c>
      <c r="G144" s="35">
        <v>195</v>
      </c>
      <c r="H144" s="35">
        <v>160</v>
      </c>
      <c r="I144" s="35">
        <v>200</v>
      </c>
      <c r="J144" s="35">
        <v>190</v>
      </c>
      <c r="K144" s="35">
        <v>215</v>
      </c>
      <c r="L144" s="35">
        <v>220</v>
      </c>
      <c r="M144" s="35">
        <v>185</v>
      </c>
      <c r="N144" s="35">
        <v>205</v>
      </c>
      <c r="P144" s="35" t="s">
        <v>353</v>
      </c>
      <c r="R144"/>
    </row>
    <row r="145" ht="14.5" spans="1:18">
      <c r="A145" s="35" t="s">
        <v>328</v>
      </c>
      <c r="B145" s="12" t="str">
        <f t="shared" si="2"/>
        <v>EN_IGCC + CCS</v>
      </c>
      <c r="C145" s="35" t="s">
        <v>336</v>
      </c>
      <c r="D145" s="35">
        <v>2050</v>
      </c>
      <c r="F145" s="35">
        <v>190</v>
      </c>
      <c r="G145" s="35">
        <v>180</v>
      </c>
      <c r="H145" s="35">
        <v>135</v>
      </c>
      <c r="I145" s="35">
        <v>180</v>
      </c>
      <c r="J145" s="35">
        <v>170</v>
      </c>
      <c r="K145" s="35">
        <v>195</v>
      </c>
      <c r="L145" s="35">
        <v>200</v>
      </c>
      <c r="M145" s="35">
        <v>170</v>
      </c>
      <c r="N145" s="35">
        <v>180</v>
      </c>
      <c r="P145" s="35" t="s">
        <v>353</v>
      </c>
      <c r="R145"/>
    </row>
    <row r="146" ht="14.5" spans="1:18">
      <c r="A146" s="35" t="s">
        <v>328</v>
      </c>
      <c r="B146" s="12" t="str">
        <f t="shared" si="2"/>
        <v>EN_IGCC + CCS</v>
      </c>
      <c r="C146" s="35" t="s">
        <v>107</v>
      </c>
      <c r="D146" s="35">
        <v>2022</v>
      </c>
      <c r="F146" s="35">
        <v>4850</v>
      </c>
      <c r="G146" s="35">
        <v>4550</v>
      </c>
      <c r="H146" s="35">
        <v>3650</v>
      </c>
      <c r="I146" s="35">
        <v>5850</v>
      </c>
      <c r="J146" s="35">
        <v>4150</v>
      </c>
      <c r="K146" s="35">
        <v>6250</v>
      </c>
      <c r="L146" s="35">
        <v>5100</v>
      </c>
      <c r="M146" s="35">
        <v>5450</v>
      </c>
      <c r="N146" s="35">
        <v>5950</v>
      </c>
      <c r="P146" s="35" t="s">
        <v>353</v>
      </c>
      <c r="R146"/>
    </row>
    <row r="147" ht="14.5" spans="1:18">
      <c r="A147" s="35" t="s">
        <v>328</v>
      </c>
      <c r="B147" s="12" t="str">
        <f t="shared" si="2"/>
        <v>EN_IGCC + CCS</v>
      </c>
      <c r="C147" s="35" t="s">
        <v>107</v>
      </c>
      <c r="D147" s="35">
        <v>2030</v>
      </c>
      <c r="F147" s="35">
        <v>4650</v>
      </c>
      <c r="G147" s="35">
        <v>4350</v>
      </c>
      <c r="H147" s="35">
        <v>3550</v>
      </c>
      <c r="I147" s="35">
        <v>5700</v>
      </c>
      <c r="J147" s="35">
        <v>3950</v>
      </c>
      <c r="K147" s="35">
        <v>6100</v>
      </c>
      <c r="L147" s="35">
        <v>4900</v>
      </c>
      <c r="M147" s="35">
        <v>5300</v>
      </c>
      <c r="N147" s="35">
        <v>5850</v>
      </c>
      <c r="P147" s="35" t="s">
        <v>353</v>
      </c>
      <c r="R147"/>
    </row>
    <row r="148" ht="14.5" spans="1:18">
      <c r="A148" s="35" t="s">
        <v>328</v>
      </c>
      <c r="B148" s="12" t="str">
        <f t="shared" si="2"/>
        <v>EN_IGCC + CCS</v>
      </c>
      <c r="C148" s="35" t="s">
        <v>107</v>
      </c>
      <c r="D148" s="35">
        <v>2050</v>
      </c>
      <c r="F148" s="35">
        <v>4250</v>
      </c>
      <c r="G148" s="35">
        <v>4000</v>
      </c>
      <c r="H148" s="35">
        <v>3000</v>
      </c>
      <c r="I148" s="35">
        <v>5150</v>
      </c>
      <c r="J148" s="35">
        <v>3550</v>
      </c>
      <c r="K148" s="35">
        <v>5550</v>
      </c>
      <c r="L148" s="35">
        <v>4450</v>
      </c>
      <c r="M148" s="35">
        <v>4800</v>
      </c>
      <c r="N148" s="35">
        <v>5150</v>
      </c>
      <c r="P148" s="35" t="s">
        <v>353</v>
      </c>
      <c r="R148"/>
    </row>
    <row r="149" ht="14.5" spans="1:18">
      <c r="A149" s="35" t="s">
        <v>328</v>
      </c>
      <c r="B149" s="12" t="str">
        <f t="shared" si="2"/>
        <v>EN_Marine</v>
      </c>
      <c r="C149" s="35" t="s">
        <v>329</v>
      </c>
      <c r="D149" s="35">
        <v>2022</v>
      </c>
      <c r="F149" s="35">
        <v>1</v>
      </c>
      <c r="G149" s="35" t="s">
        <v>372</v>
      </c>
      <c r="H149" s="35">
        <v>1</v>
      </c>
      <c r="I149" s="35">
        <v>1</v>
      </c>
      <c r="J149" s="35">
        <v>1</v>
      </c>
      <c r="K149" s="35">
        <v>1</v>
      </c>
      <c r="L149" s="35">
        <v>1</v>
      </c>
      <c r="M149" s="35">
        <v>1</v>
      </c>
      <c r="N149" s="35">
        <v>1</v>
      </c>
      <c r="P149" s="35" t="s">
        <v>354</v>
      </c>
      <c r="R149"/>
    </row>
    <row r="150" ht="14.5" spans="1:18">
      <c r="A150" s="35" t="s">
        <v>328</v>
      </c>
      <c r="B150" s="12" t="str">
        <f t="shared" si="2"/>
        <v>EN_Marine</v>
      </c>
      <c r="C150" s="35" t="s">
        <v>329</v>
      </c>
      <c r="D150" s="35">
        <v>2030</v>
      </c>
      <c r="F150" s="35">
        <v>1</v>
      </c>
      <c r="G150" s="35" t="s">
        <v>372</v>
      </c>
      <c r="H150" s="35">
        <v>1</v>
      </c>
      <c r="I150" s="35">
        <v>1</v>
      </c>
      <c r="J150" s="35">
        <v>1</v>
      </c>
      <c r="K150" s="35">
        <v>1</v>
      </c>
      <c r="L150" s="35">
        <v>1</v>
      </c>
      <c r="M150" s="35">
        <v>1</v>
      </c>
      <c r="N150" s="35">
        <v>1</v>
      </c>
      <c r="P150" s="35" t="s">
        <v>354</v>
      </c>
      <c r="R150"/>
    </row>
    <row r="151" ht="14.5" spans="1:18">
      <c r="A151" s="35" t="s">
        <v>328</v>
      </c>
      <c r="B151" s="12" t="str">
        <f t="shared" si="2"/>
        <v>EN_Marine</v>
      </c>
      <c r="C151" s="35" t="s">
        <v>329</v>
      </c>
      <c r="D151" s="35">
        <v>2050</v>
      </c>
      <c r="F151" s="35">
        <v>1</v>
      </c>
      <c r="G151" s="35" t="s">
        <v>372</v>
      </c>
      <c r="H151" s="35">
        <v>1</v>
      </c>
      <c r="I151" s="35">
        <v>1</v>
      </c>
      <c r="J151" s="35">
        <v>1</v>
      </c>
      <c r="K151" s="35">
        <v>1</v>
      </c>
      <c r="L151" s="35">
        <v>1</v>
      </c>
      <c r="M151" s="35">
        <v>1</v>
      </c>
      <c r="N151" s="35">
        <v>1</v>
      </c>
      <c r="P151" s="35" t="s">
        <v>354</v>
      </c>
      <c r="R151"/>
    </row>
    <row r="152" ht="14.5" spans="1:18">
      <c r="A152" s="35" t="s">
        <v>328</v>
      </c>
      <c r="B152" s="12" t="str">
        <f t="shared" si="2"/>
        <v>EN_Marine</v>
      </c>
      <c r="C152" s="35" t="s">
        <v>336</v>
      </c>
      <c r="D152" s="35">
        <v>2022</v>
      </c>
      <c r="F152" s="35">
        <v>200</v>
      </c>
      <c r="G152" s="35" t="s">
        <v>372</v>
      </c>
      <c r="H152" s="35">
        <v>200</v>
      </c>
      <c r="I152" s="35">
        <v>210</v>
      </c>
      <c r="J152" s="35">
        <v>200</v>
      </c>
      <c r="K152" s="35">
        <v>210</v>
      </c>
      <c r="L152" s="35">
        <v>200</v>
      </c>
      <c r="M152" s="35">
        <v>200</v>
      </c>
      <c r="N152" s="35">
        <v>210</v>
      </c>
      <c r="P152" s="35" t="s">
        <v>354</v>
      </c>
      <c r="R152"/>
    </row>
    <row r="153" ht="14.5" spans="1:18">
      <c r="A153" s="35" t="s">
        <v>328</v>
      </c>
      <c r="B153" s="12" t="str">
        <f t="shared" si="2"/>
        <v>EN_Marine</v>
      </c>
      <c r="C153" s="35" t="s">
        <v>336</v>
      </c>
      <c r="D153" s="35">
        <v>2030</v>
      </c>
      <c r="F153" s="35">
        <v>160</v>
      </c>
      <c r="G153" s="35" t="s">
        <v>372</v>
      </c>
      <c r="H153" s="35">
        <v>160</v>
      </c>
      <c r="I153" s="35">
        <v>150</v>
      </c>
      <c r="J153" s="35">
        <v>160</v>
      </c>
      <c r="K153" s="35">
        <v>170</v>
      </c>
      <c r="L153" s="35">
        <v>160</v>
      </c>
      <c r="M153" s="35">
        <v>160</v>
      </c>
      <c r="N153" s="35">
        <v>150</v>
      </c>
      <c r="P153" s="35" t="s">
        <v>354</v>
      </c>
      <c r="R153"/>
    </row>
    <row r="154" ht="14.5" spans="1:18">
      <c r="A154" s="35" t="s">
        <v>328</v>
      </c>
      <c r="B154" s="12" t="str">
        <f t="shared" si="2"/>
        <v>EN_Marine</v>
      </c>
      <c r="C154" s="35" t="s">
        <v>336</v>
      </c>
      <c r="D154" s="35">
        <v>2050</v>
      </c>
      <c r="F154" s="35">
        <v>90</v>
      </c>
      <c r="G154" s="35" t="s">
        <v>372</v>
      </c>
      <c r="H154" s="35">
        <v>90</v>
      </c>
      <c r="I154" s="35">
        <v>90</v>
      </c>
      <c r="J154" s="35">
        <v>90</v>
      </c>
      <c r="K154" s="35">
        <v>90</v>
      </c>
      <c r="L154" s="35">
        <v>90</v>
      </c>
      <c r="M154" s="35">
        <v>90</v>
      </c>
      <c r="N154" s="35">
        <v>90</v>
      </c>
      <c r="P154" s="35" t="s">
        <v>354</v>
      </c>
      <c r="R154"/>
    </row>
    <row r="155" ht="14.5" spans="1:18">
      <c r="A155" s="35" t="s">
        <v>328</v>
      </c>
      <c r="B155" s="12" t="str">
        <f t="shared" si="2"/>
        <v>EN_Marine</v>
      </c>
      <c r="C155" s="35" t="s">
        <v>107</v>
      </c>
      <c r="D155" s="35">
        <v>2022</v>
      </c>
      <c r="F155" s="35">
        <v>6550</v>
      </c>
      <c r="G155" s="35" t="s">
        <v>372</v>
      </c>
      <c r="H155" s="35">
        <v>6600</v>
      </c>
      <c r="I155" s="35">
        <v>6950</v>
      </c>
      <c r="J155" s="35">
        <v>6500</v>
      </c>
      <c r="K155" s="35">
        <v>7000</v>
      </c>
      <c r="L155" s="35">
        <v>6650</v>
      </c>
      <c r="M155" s="35">
        <v>6650</v>
      </c>
      <c r="N155" s="35">
        <v>6850</v>
      </c>
      <c r="P155" s="35" t="s">
        <v>354</v>
      </c>
      <c r="R155"/>
    </row>
    <row r="156" ht="14.5" spans="1:18">
      <c r="A156" s="35" t="s">
        <v>328</v>
      </c>
      <c r="B156" s="12" t="str">
        <f t="shared" si="2"/>
        <v>EN_Marine</v>
      </c>
      <c r="C156" s="35" t="s">
        <v>107</v>
      </c>
      <c r="D156" s="35">
        <v>2030</v>
      </c>
      <c r="F156" s="35">
        <v>5250</v>
      </c>
      <c r="G156" s="35" t="s">
        <v>372</v>
      </c>
      <c r="H156" s="35">
        <v>5250</v>
      </c>
      <c r="I156" s="35">
        <v>5000</v>
      </c>
      <c r="J156" s="35">
        <v>5200</v>
      </c>
      <c r="K156" s="35">
        <v>5150</v>
      </c>
      <c r="L156" s="35">
        <v>5400</v>
      </c>
      <c r="M156" s="35">
        <v>5400</v>
      </c>
      <c r="N156" s="35">
        <v>4900</v>
      </c>
      <c r="P156" s="35" t="s">
        <v>354</v>
      </c>
      <c r="R156"/>
    </row>
    <row r="157" ht="14.5" spans="1:18">
      <c r="A157" s="35" t="s">
        <v>328</v>
      </c>
      <c r="B157" s="12" t="str">
        <f t="shared" si="2"/>
        <v>EN_Marine</v>
      </c>
      <c r="C157" s="35" t="s">
        <v>107</v>
      </c>
      <c r="D157" s="35">
        <v>2050</v>
      </c>
      <c r="F157" s="35">
        <v>2950</v>
      </c>
      <c r="G157" s="35" t="s">
        <v>372</v>
      </c>
      <c r="H157" s="35">
        <v>2850</v>
      </c>
      <c r="I157" s="35">
        <v>2800</v>
      </c>
      <c r="J157" s="35">
        <v>2850</v>
      </c>
      <c r="K157" s="35">
        <v>3000</v>
      </c>
      <c r="L157" s="35">
        <v>3100</v>
      </c>
      <c r="M157" s="35">
        <v>3100</v>
      </c>
      <c r="N157" s="35">
        <v>2900</v>
      </c>
      <c r="P157" s="35" t="s">
        <v>354</v>
      </c>
      <c r="R157"/>
    </row>
    <row r="158" ht="14.5" spans="1:18">
      <c r="A158" s="35" t="s">
        <v>328</v>
      </c>
      <c r="B158" s="12" t="str">
        <f t="shared" si="2"/>
        <v>EN_Nuclear</v>
      </c>
      <c r="C158" s="35" t="s">
        <v>329</v>
      </c>
      <c r="D158" s="35">
        <v>2022</v>
      </c>
      <c r="F158" s="35">
        <v>0.33</v>
      </c>
      <c r="G158" s="35">
        <v>0.33</v>
      </c>
      <c r="H158" s="35">
        <v>0.33</v>
      </c>
      <c r="I158" s="35">
        <v>0.33</v>
      </c>
      <c r="J158" s="35">
        <v>0.33</v>
      </c>
      <c r="K158" s="35">
        <v>0.33</v>
      </c>
      <c r="L158" s="35">
        <v>0.33</v>
      </c>
      <c r="M158" s="35">
        <v>0.33</v>
      </c>
      <c r="N158" s="35">
        <v>0.33</v>
      </c>
      <c r="P158" s="35" t="s">
        <v>355</v>
      </c>
      <c r="R158"/>
    </row>
    <row r="159" ht="14.5" spans="1:18">
      <c r="A159" s="35" t="s">
        <v>328</v>
      </c>
      <c r="B159" s="12" t="str">
        <f t="shared" si="2"/>
        <v>EN_Nuclear</v>
      </c>
      <c r="C159" s="35" t="s">
        <v>329</v>
      </c>
      <c r="D159" s="35">
        <v>2030</v>
      </c>
      <c r="F159" s="35">
        <v>0.33</v>
      </c>
      <c r="G159" s="35">
        <v>0.33</v>
      </c>
      <c r="H159" s="35">
        <v>0.33</v>
      </c>
      <c r="I159" s="35">
        <v>0.33</v>
      </c>
      <c r="J159" s="35">
        <v>0.33</v>
      </c>
      <c r="K159" s="35">
        <v>0.33</v>
      </c>
      <c r="L159" s="35">
        <v>0.33</v>
      </c>
      <c r="M159" s="35">
        <v>0.33</v>
      </c>
      <c r="N159" s="35">
        <v>0.33</v>
      </c>
      <c r="P159" s="35" t="s">
        <v>355</v>
      </c>
      <c r="R159"/>
    </row>
    <row r="160" ht="14.5" spans="1:18">
      <c r="A160" s="35" t="s">
        <v>328</v>
      </c>
      <c r="B160" s="12" t="str">
        <f t="shared" si="2"/>
        <v>EN_Nuclear</v>
      </c>
      <c r="C160" s="35" t="s">
        <v>329</v>
      </c>
      <c r="D160" s="35">
        <v>2050</v>
      </c>
      <c r="F160" s="35">
        <v>0.33</v>
      </c>
      <c r="G160" s="35">
        <v>0.33</v>
      </c>
      <c r="H160" s="35">
        <v>0.33</v>
      </c>
      <c r="I160" s="35">
        <v>0.33</v>
      </c>
      <c r="J160" s="35">
        <v>0.33</v>
      </c>
      <c r="K160" s="35">
        <v>0.33</v>
      </c>
      <c r="L160" s="35">
        <v>0.33</v>
      </c>
      <c r="M160" s="35">
        <v>0.33</v>
      </c>
      <c r="N160" s="35">
        <v>0.33</v>
      </c>
      <c r="P160" s="35" t="s">
        <v>355</v>
      </c>
      <c r="R160"/>
    </row>
    <row r="161" ht="14.5" spans="1:18">
      <c r="A161" s="35" t="s">
        <v>328</v>
      </c>
      <c r="B161" s="12" t="str">
        <f t="shared" si="2"/>
        <v>EN_Nuclear</v>
      </c>
      <c r="C161" s="35" t="s">
        <v>336</v>
      </c>
      <c r="D161" s="35">
        <v>2022</v>
      </c>
      <c r="F161" s="35">
        <v>170</v>
      </c>
      <c r="G161" s="35">
        <v>170</v>
      </c>
      <c r="H161" s="35">
        <v>120</v>
      </c>
      <c r="I161" s="35">
        <v>160</v>
      </c>
      <c r="J161" s="35">
        <v>140</v>
      </c>
      <c r="K161" s="35">
        <v>225</v>
      </c>
      <c r="L161" s="35">
        <v>160</v>
      </c>
      <c r="M161" s="35">
        <v>160</v>
      </c>
      <c r="N161" s="35">
        <v>175</v>
      </c>
      <c r="P161" s="35" t="s">
        <v>355</v>
      </c>
      <c r="R161"/>
    </row>
    <row r="162" ht="14.5" spans="1:18">
      <c r="A162" s="35" t="s">
        <v>328</v>
      </c>
      <c r="B162" s="12" t="str">
        <f t="shared" si="2"/>
        <v>EN_Nuclear</v>
      </c>
      <c r="C162" s="35" t="s">
        <v>336</v>
      </c>
      <c r="D162" s="35">
        <v>2030</v>
      </c>
      <c r="F162" s="35">
        <v>170</v>
      </c>
      <c r="G162" s="35">
        <v>170</v>
      </c>
      <c r="H162" s="35">
        <v>120</v>
      </c>
      <c r="I162" s="35">
        <v>160</v>
      </c>
      <c r="J162" s="35">
        <v>140</v>
      </c>
      <c r="K162" s="35">
        <v>225</v>
      </c>
      <c r="L162" s="35">
        <v>160</v>
      </c>
      <c r="M162" s="35">
        <v>160</v>
      </c>
      <c r="N162" s="35">
        <v>175</v>
      </c>
      <c r="P162" s="35" t="s">
        <v>355</v>
      </c>
      <c r="R162"/>
    </row>
    <row r="163" ht="14.5" spans="1:18">
      <c r="A163" s="35" t="s">
        <v>328</v>
      </c>
      <c r="B163" s="12" t="str">
        <f t="shared" si="2"/>
        <v>EN_Nuclear</v>
      </c>
      <c r="C163" s="35" t="s">
        <v>336</v>
      </c>
      <c r="D163" s="35">
        <v>2050</v>
      </c>
      <c r="F163" s="35">
        <v>170</v>
      </c>
      <c r="G163" s="35">
        <v>170</v>
      </c>
      <c r="H163" s="35">
        <v>120</v>
      </c>
      <c r="I163" s="35">
        <v>160</v>
      </c>
      <c r="J163" s="35">
        <v>140</v>
      </c>
      <c r="K163" s="35">
        <v>225</v>
      </c>
      <c r="L163" s="35">
        <v>160</v>
      </c>
      <c r="M163" s="35">
        <v>160</v>
      </c>
      <c r="N163" s="35">
        <v>175</v>
      </c>
      <c r="P163" s="35" t="s">
        <v>355</v>
      </c>
      <c r="R163"/>
    </row>
    <row r="164" ht="14.5" spans="1:18">
      <c r="A164" s="35" t="s">
        <v>328</v>
      </c>
      <c r="B164" s="12" t="str">
        <f t="shared" si="2"/>
        <v>EN_Nuclear</v>
      </c>
      <c r="C164" s="35" t="s">
        <v>107</v>
      </c>
      <c r="D164" s="35">
        <v>2022</v>
      </c>
      <c r="F164" s="35">
        <v>4000</v>
      </c>
      <c r="G164" s="35">
        <v>4000</v>
      </c>
      <c r="H164" s="35">
        <v>2800</v>
      </c>
      <c r="I164" s="35">
        <v>6600</v>
      </c>
      <c r="J164" s="35">
        <v>2800</v>
      </c>
      <c r="K164" s="35">
        <v>4200</v>
      </c>
      <c r="L164" s="35">
        <v>3500</v>
      </c>
      <c r="M164" s="35">
        <v>3800</v>
      </c>
      <c r="N164" s="35">
        <v>5000</v>
      </c>
      <c r="P164" s="35" t="s">
        <v>355</v>
      </c>
      <c r="R164"/>
    </row>
    <row r="165" ht="14.5" spans="1:18">
      <c r="A165" s="35" t="s">
        <v>328</v>
      </c>
      <c r="B165" s="12" t="str">
        <f t="shared" si="2"/>
        <v>EN_Nuclear</v>
      </c>
      <c r="C165" s="35" t="s">
        <v>107</v>
      </c>
      <c r="D165" s="35">
        <v>2030</v>
      </c>
      <c r="F165" s="35">
        <v>4000</v>
      </c>
      <c r="G165" s="35">
        <v>4000</v>
      </c>
      <c r="H165" s="35">
        <v>2800</v>
      </c>
      <c r="I165" s="35">
        <v>5100</v>
      </c>
      <c r="J165" s="35">
        <v>2800</v>
      </c>
      <c r="K165" s="35">
        <v>4000</v>
      </c>
      <c r="L165" s="35">
        <v>3500</v>
      </c>
      <c r="M165" s="35">
        <v>3800</v>
      </c>
      <c r="N165" s="35">
        <v>4800</v>
      </c>
      <c r="P165" s="35" t="s">
        <v>355</v>
      </c>
      <c r="R165"/>
    </row>
    <row r="166" ht="14.5" spans="1:18">
      <c r="A166" s="35" t="s">
        <v>328</v>
      </c>
      <c r="B166" s="12" t="str">
        <f t="shared" si="2"/>
        <v>EN_Nuclear</v>
      </c>
      <c r="C166" s="35" t="s">
        <v>107</v>
      </c>
      <c r="D166" s="35">
        <v>2050</v>
      </c>
      <c r="F166" s="35">
        <v>4000</v>
      </c>
      <c r="G166" s="35">
        <v>4000</v>
      </c>
      <c r="H166" s="35">
        <v>2500</v>
      </c>
      <c r="I166" s="35">
        <v>4500</v>
      </c>
      <c r="J166" s="35">
        <v>2800</v>
      </c>
      <c r="K166" s="35">
        <v>4000</v>
      </c>
      <c r="L166" s="35">
        <v>3500</v>
      </c>
      <c r="M166" s="35">
        <v>3800</v>
      </c>
      <c r="N166" s="35">
        <v>4500</v>
      </c>
      <c r="P166" s="35" t="s">
        <v>355</v>
      </c>
      <c r="R166"/>
    </row>
    <row r="167" ht="14.5" spans="1:18">
      <c r="A167" s="35" t="s">
        <v>328</v>
      </c>
      <c r="B167" s="12" t="str">
        <f t="shared" si="2"/>
        <v>\I: EN_Oxyfuel + CCS</v>
      </c>
      <c r="C167" s="35" t="s">
        <v>329</v>
      </c>
      <c r="D167" s="35">
        <v>2022</v>
      </c>
      <c r="F167" s="35">
        <v>0.33</v>
      </c>
      <c r="G167" s="35" t="s">
        <v>372</v>
      </c>
      <c r="H167" s="35">
        <v>0.35</v>
      </c>
      <c r="I167" s="35">
        <v>0.36</v>
      </c>
      <c r="J167" s="35">
        <v>0.31</v>
      </c>
      <c r="K167" s="35">
        <v>0.36</v>
      </c>
      <c r="L167" s="35" t="s">
        <v>372</v>
      </c>
      <c r="M167" s="35">
        <v>0.36</v>
      </c>
      <c r="N167" s="35">
        <v>0.36</v>
      </c>
      <c r="P167" s="35" t="s">
        <v>367</v>
      </c>
      <c r="R167"/>
    </row>
    <row r="168" ht="14.5" spans="1:18">
      <c r="A168" s="35" t="s">
        <v>328</v>
      </c>
      <c r="B168" s="12" t="str">
        <f t="shared" si="2"/>
        <v>\I: EN_Oxyfuel + CCS</v>
      </c>
      <c r="C168" s="35" t="s">
        <v>329</v>
      </c>
      <c r="D168" s="35">
        <v>2030</v>
      </c>
      <c r="F168" s="35">
        <v>0.33</v>
      </c>
      <c r="G168" s="35" t="s">
        <v>372</v>
      </c>
      <c r="H168" s="35">
        <v>0.36</v>
      </c>
      <c r="I168" s="35">
        <v>0.37</v>
      </c>
      <c r="J168" s="35">
        <v>0.32</v>
      </c>
      <c r="K168" s="35">
        <v>0.37</v>
      </c>
      <c r="L168" s="35" t="s">
        <v>372</v>
      </c>
      <c r="M168" s="35">
        <v>0.37</v>
      </c>
      <c r="N168" s="35">
        <v>0.37</v>
      </c>
      <c r="P168" s="35" t="s">
        <v>367</v>
      </c>
      <c r="R168"/>
    </row>
    <row r="169" ht="14.5" spans="1:18">
      <c r="A169" s="35" t="s">
        <v>328</v>
      </c>
      <c r="B169" s="12" t="str">
        <f t="shared" si="2"/>
        <v>\I: EN_Oxyfuel + CCS</v>
      </c>
      <c r="C169" s="35" t="s">
        <v>329</v>
      </c>
      <c r="D169" s="35">
        <v>2050</v>
      </c>
      <c r="F169" s="35">
        <v>0.33</v>
      </c>
      <c r="G169" s="35" t="s">
        <v>372</v>
      </c>
      <c r="H169" s="35">
        <v>0.36</v>
      </c>
      <c r="I169" s="35">
        <v>0.37</v>
      </c>
      <c r="J169" s="35">
        <v>0.32</v>
      </c>
      <c r="K169" s="35">
        <v>0.37</v>
      </c>
      <c r="L169" s="35" t="s">
        <v>372</v>
      </c>
      <c r="M169" s="35">
        <v>0.37</v>
      </c>
      <c r="N169" s="35">
        <v>0.37</v>
      </c>
      <c r="P169" s="35" t="s">
        <v>367</v>
      </c>
      <c r="R169"/>
    </row>
    <row r="170" ht="14.5" spans="1:18">
      <c r="A170" s="35" t="s">
        <v>328</v>
      </c>
      <c r="B170" s="12" t="str">
        <f t="shared" si="2"/>
        <v>\I: EN_Oxyfuel + CCS</v>
      </c>
      <c r="C170" s="35" t="s">
        <v>336</v>
      </c>
      <c r="D170" s="35">
        <v>2022</v>
      </c>
      <c r="F170" s="35">
        <v>185</v>
      </c>
      <c r="G170" s="35">
        <v>190</v>
      </c>
      <c r="H170" s="35">
        <v>140</v>
      </c>
      <c r="I170" s="35">
        <v>170</v>
      </c>
      <c r="J170" s="35">
        <v>165</v>
      </c>
      <c r="K170" s="35">
        <v>185</v>
      </c>
      <c r="L170" s="35">
        <v>170</v>
      </c>
      <c r="M170" s="35">
        <v>160</v>
      </c>
      <c r="N170" s="35">
        <v>175</v>
      </c>
      <c r="P170" s="35" t="s">
        <v>367</v>
      </c>
      <c r="R170"/>
    </row>
    <row r="171" ht="14.5" spans="1:18">
      <c r="A171" s="35" t="s">
        <v>328</v>
      </c>
      <c r="B171" s="12" t="str">
        <f t="shared" si="2"/>
        <v>\I: EN_Oxyfuel + CCS</v>
      </c>
      <c r="C171" s="35" t="s">
        <v>336</v>
      </c>
      <c r="D171" s="35">
        <v>2030</v>
      </c>
      <c r="F171" s="35">
        <v>185</v>
      </c>
      <c r="G171" s="35">
        <v>190</v>
      </c>
      <c r="H171" s="35">
        <v>140</v>
      </c>
      <c r="I171" s="35">
        <v>170</v>
      </c>
      <c r="J171" s="35">
        <v>165</v>
      </c>
      <c r="K171" s="35">
        <v>185</v>
      </c>
      <c r="L171" s="35">
        <v>170</v>
      </c>
      <c r="M171" s="35">
        <v>160</v>
      </c>
      <c r="N171" s="35">
        <v>175</v>
      </c>
      <c r="P171" s="35" t="s">
        <v>367</v>
      </c>
      <c r="R171"/>
    </row>
    <row r="172" ht="14.5" spans="1:18">
      <c r="A172" s="35" t="s">
        <v>328</v>
      </c>
      <c r="B172" s="12" t="str">
        <f t="shared" si="2"/>
        <v>\I: EN_Oxyfuel + CCS</v>
      </c>
      <c r="C172" s="35" t="s">
        <v>336</v>
      </c>
      <c r="D172" s="35">
        <v>2050</v>
      </c>
      <c r="F172" s="35">
        <v>165</v>
      </c>
      <c r="G172" s="35">
        <v>170</v>
      </c>
      <c r="H172" s="35">
        <v>120</v>
      </c>
      <c r="I172" s="35">
        <v>155</v>
      </c>
      <c r="J172" s="35">
        <v>150</v>
      </c>
      <c r="K172" s="35">
        <v>165</v>
      </c>
      <c r="L172" s="35">
        <v>155</v>
      </c>
      <c r="M172" s="35">
        <v>145</v>
      </c>
      <c r="N172" s="35">
        <v>155</v>
      </c>
      <c r="P172" s="35" t="s">
        <v>367</v>
      </c>
      <c r="R172"/>
    </row>
    <row r="173" ht="14.5" spans="1:18">
      <c r="A173" s="35" t="s">
        <v>328</v>
      </c>
      <c r="B173" s="12" t="str">
        <f t="shared" si="2"/>
        <v>\I: EN_Oxyfuel + CCS</v>
      </c>
      <c r="C173" s="35" t="s">
        <v>107</v>
      </c>
      <c r="D173" s="35">
        <v>2022</v>
      </c>
      <c r="F173" s="35">
        <v>4800</v>
      </c>
      <c r="G173" s="35">
        <v>4700</v>
      </c>
      <c r="H173" s="35">
        <v>3500</v>
      </c>
      <c r="I173" s="35">
        <v>5700</v>
      </c>
      <c r="J173" s="35">
        <v>4100</v>
      </c>
      <c r="K173" s="35">
        <v>6100</v>
      </c>
      <c r="L173" s="35">
        <v>4300</v>
      </c>
      <c r="M173" s="35">
        <v>5300</v>
      </c>
      <c r="N173" s="35">
        <v>5800</v>
      </c>
      <c r="P173" s="35" t="s">
        <v>367</v>
      </c>
      <c r="R173"/>
    </row>
    <row r="174" ht="14.5" spans="1:18">
      <c r="A174" s="35" t="s">
        <v>328</v>
      </c>
      <c r="B174" s="12" t="str">
        <f t="shared" si="2"/>
        <v>\I: EN_Oxyfuel + CCS</v>
      </c>
      <c r="C174" s="35" t="s">
        <v>107</v>
      </c>
      <c r="D174" s="35">
        <v>2030</v>
      </c>
      <c r="F174" s="35">
        <v>4800</v>
      </c>
      <c r="G174" s="35">
        <v>4700</v>
      </c>
      <c r="H174" s="35">
        <v>3500</v>
      </c>
      <c r="I174" s="35">
        <v>5700</v>
      </c>
      <c r="J174" s="35">
        <v>4100</v>
      </c>
      <c r="K174" s="35">
        <v>6100</v>
      </c>
      <c r="L174" s="35">
        <v>4300</v>
      </c>
      <c r="M174" s="35">
        <v>5300</v>
      </c>
      <c r="N174" s="35">
        <v>5800</v>
      </c>
      <c r="P174" s="35" t="s">
        <v>367</v>
      </c>
      <c r="R174"/>
    </row>
    <row r="175" ht="14.5" spans="1:18">
      <c r="A175" s="35" t="s">
        <v>328</v>
      </c>
      <c r="B175" s="12" t="str">
        <f t="shared" si="2"/>
        <v>\I: EN_Oxyfuel + CCS</v>
      </c>
      <c r="C175" s="35" t="s">
        <v>107</v>
      </c>
      <c r="D175" s="35">
        <v>2050</v>
      </c>
      <c r="F175" s="35">
        <v>4350</v>
      </c>
      <c r="G175" s="35">
        <v>4250</v>
      </c>
      <c r="H175" s="35">
        <v>3050</v>
      </c>
      <c r="I175" s="35">
        <v>5150</v>
      </c>
      <c r="J175" s="35">
        <v>3700</v>
      </c>
      <c r="K175" s="35">
        <v>5550</v>
      </c>
      <c r="L175" s="35">
        <v>3900</v>
      </c>
      <c r="M175" s="35">
        <v>4850</v>
      </c>
      <c r="N175" s="35">
        <v>5200</v>
      </c>
      <c r="P175" s="35" t="s">
        <v>367</v>
      </c>
      <c r="R175"/>
    </row>
    <row r="176" ht="14.5" spans="1:18">
      <c r="A176" s="35" t="s">
        <v>328</v>
      </c>
      <c r="B176" s="12" t="str">
        <f t="shared" si="2"/>
        <v>\I: EN_Solar photovoltaics - Buildings</v>
      </c>
      <c r="C176" s="35" t="s">
        <v>329</v>
      </c>
      <c r="D176" s="35">
        <v>2022</v>
      </c>
      <c r="F176" s="35">
        <v>1</v>
      </c>
      <c r="G176" s="35">
        <v>1</v>
      </c>
      <c r="H176" s="35">
        <v>1</v>
      </c>
      <c r="I176" s="35">
        <v>1</v>
      </c>
      <c r="J176" s="35">
        <v>1</v>
      </c>
      <c r="K176" s="35">
        <v>1</v>
      </c>
      <c r="L176" s="35">
        <v>1</v>
      </c>
      <c r="M176" s="35">
        <v>1</v>
      </c>
      <c r="N176" s="35">
        <v>1</v>
      </c>
      <c r="P176" s="35" t="s">
        <v>356</v>
      </c>
      <c r="R176"/>
    </row>
    <row r="177" ht="14.5" spans="1:18">
      <c r="A177" s="35" t="s">
        <v>328</v>
      </c>
      <c r="B177" s="12" t="str">
        <f t="shared" si="2"/>
        <v>\I: EN_Solar photovoltaics - Buildings</v>
      </c>
      <c r="C177" s="35" t="s">
        <v>329</v>
      </c>
      <c r="D177" s="35">
        <v>2030</v>
      </c>
      <c r="F177" s="35">
        <v>1</v>
      </c>
      <c r="G177" s="35">
        <v>1</v>
      </c>
      <c r="H177" s="35">
        <v>1</v>
      </c>
      <c r="I177" s="35">
        <v>1</v>
      </c>
      <c r="J177" s="35">
        <v>1</v>
      </c>
      <c r="K177" s="35">
        <v>1</v>
      </c>
      <c r="L177" s="35">
        <v>1</v>
      </c>
      <c r="M177" s="35">
        <v>1</v>
      </c>
      <c r="N177" s="35">
        <v>1</v>
      </c>
      <c r="P177" s="35" t="s">
        <v>356</v>
      </c>
      <c r="R177"/>
    </row>
    <row r="178" ht="14.5" spans="1:18">
      <c r="A178" s="35" t="s">
        <v>328</v>
      </c>
      <c r="B178" s="12" t="str">
        <f t="shared" si="2"/>
        <v>\I: EN_Solar photovoltaics - Buildings</v>
      </c>
      <c r="C178" s="35" t="s">
        <v>329</v>
      </c>
      <c r="D178" s="35">
        <v>2050</v>
      </c>
      <c r="F178" s="35">
        <v>1</v>
      </c>
      <c r="G178" s="35">
        <v>1</v>
      </c>
      <c r="H178" s="35">
        <v>1</v>
      </c>
      <c r="I178" s="35">
        <v>1</v>
      </c>
      <c r="J178" s="35">
        <v>1</v>
      </c>
      <c r="K178" s="35">
        <v>1</v>
      </c>
      <c r="L178" s="35">
        <v>1</v>
      </c>
      <c r="M178" s="35">
        <v>1</v>
      </c>
      <c r="N178" s="35">
        <v>1</v>
      </c>
      <c r="P178" s="35" t="s">
        <v>356</v>
      </c>
      <c r="R178"/>
    </row>
    <row r="179" ht="14.5" spans="1:18">
      <c r="A179" s="35" t="s">
        <v>328</v>
      </c>
      <c r="B179" s="12" t="str">
        <f t="shared" si="2"/>
        <v>\I: EN_Solar photovoltaics - Buildings</v>
      </c>
      <c r="C179" s="35" t="s">
        <v>336</v>
      </c>
      <c r="D179" s="35">
        <v>2022</v>
      </c>
      <c r="F179" s="35">
        <v>30</v>
      </c>
      <c r="G179" s="35">
        <v>8</v>
      </c>
      <c r="H179" s="35">
        <v>14</v>
      </c>
      <c r="I179" s="35">
        <v>20</v>
      </c>
      <c r="J179" s="35">
        <v>10</v>
      </c>
      <c r="K179" s="35">
        <v>28</v>
      </c>
      <c r="L179" s="35">
        <v>16</v>
      </c>
      <c r="M179" s="35">
        <v>34</v>
      </c>
      <c r="N179" s="35">
        <v>52</v>
      </c>
      <c r="P179" s="35" t="s">
        <v>356</v>
      </c>
      <c r="R179"/>
    </row>
    <row r="180" ht="14.5" spans="1:18">
      <c r="A180" s="35" t="s">
        <v>328</v>
      </c>
      <c r="B180" s="12" t="str">
        <f t="shared" si="2"/>
        <v>\I: EN_Solar photovoltaics - Buildings</v>
      </c>
      <c r="C180" s="35" t="s">
        <v>336</v>
      </c>
      <c r="D180" s="35">
        <v>2030</v>
      </c>
      <c r="F180" s="35">
        <v>26</v>
      </c>
      <c r="G180" s="35">
        <v>8</v>
      </c>
      <c r="H180" s="35">
        <v>12</v>
      </c>
      <c r="I180" s="35">
        <v>18</v>
      </c>
      <c r="J180" s="35">
        <v>10</v>
      </c>
      <c r="K180" s="35">
        <v>26</v>
      </c>
      <c r="L180" s="35">
        <v>14</v>
      </c>
      <c r="M180" s="35">
        <v>30</v>
      </c>
      <c r="N180" s="35">
        <v>48</v>
      </c>
      <c r="P180" s="35" t="s">
        <v>356</v>
      </c>
      <c r="R180"/>
    </row>
    <row r="181" ht="14.5" spans="1:18">
      <c r="A181" s="35" t="s">
        <v>328</v>
      </c>
      <c r="B181" s="12" t="str">
        <f t="shared" si="2"/>
        <v>\I: EN_Solar photovoltaics - Buildings</v>
      </c>
      <c r="C181" s="35" t="s">
        <v>336</v>
      </c>
      <c r="D181" s="35">
        <v>2050</v>
      </c>
      <c r="F181" s="35">
        <v>26</v>
      </c>
      <c r="G181" s="35">
        <v>8</v>
      </c>
      <c r="H181" s="35">
        <v>12</v>
      </c>
      <c r="I181" s="35">
        <v>18</v>
      </c>
      <c r="J181" s="35">
        <v>8</v>
      </c>
      <c r="K181" s="35">
        <v>24</v>
      </c>
      <c r="L181" s="35">
        <v>12</v>
      </c>
      <c r="M181" s="35">
        <v>28</v>
      </c>
      <c r="N181" s="35">
        <v>44</v>
      </c>
      <c r="P181" s="35" t="s">
        <v>356</v>
      </c>
      <c r="R181"/>
    </row>
    <row r="182" ht="14.5" spans="1:18">
      <c r="A182" s="35" t="s">
        <v>328</v>
      </c>
      <c r="B182" s="12" t="str">
        <f t="shared" si="2"/>
        <v>\I: EN_Solar photovoltaics - Buildings</v>
      </c>
      <c r="C182" s="35" t="s">
        <v>107</v>
      </c>
      <c r="D182" s="35">
        <v>2022</v>
      </c>
      <c r="F182" s="35">
        <v>1970</v>
      </c>
      <c r="G182" s="35">
        <v>580</v>
      </c>
      <c r="H182" s="35">
        <v>800</v>
      </c>
      <c r="I182" s="35">
        <v>1320</v>
      </c>
      <c r="J182" s="35">
        <v>700</v>
      </c>
      <c r="K182" s="35">
        <v>1880</v>
      </c>
      <c r="L182" s="35">
        <v>1020</v>
      </c>
      <c r="M182" s="35">
        <v>2210</v>
      </c>
      <c r="N182" s="35">
        <v>3490</v>
      </c>
      <c r="P182" s="35" t="s">
        <v>356</v>
      </c>
      <c r="R182"/>
    </row>
    <row r="183" ht="14.5" spans="1:18">
      <c r="A183" s="35" t="s">
        <v>328</v>
      </c>
      <c r="B183" s="12" t="str">
        <f t="shared" si="2"/>
        <v>\I: EN_Solar photovoltaics - Buildings</v>
      </c>
      <c r="C183" s="35" t="s">
        <v>107</v>
      </c>
      <c r="D183" s="35">
        <v>2030</v>
      </c>
      <c r="F183" s="35">
        <v>1150</v>
      </c>
      <c r="G183" s="35">
        <v>350</v>
      </c>
      <c r="H183" s="35">
        <v>480</v>
      </c>
      <c r="I183" s="35">
        <v>840</v>
      </c>
      <c r="J183" s="35">
        <v>430</v>
      </c>
      <c r="K183" s="35">
        <v>1280</v>
      </c>
      <c r="L183" s="35">
        <v>580</v>
      </c>
      <c r="M183" s="35">
        <v>1440</v>
      </c>
      <c r="N183" s="35">
        <v>2160</v>
      </c>
      <c r="P183" s="35" t="s">
        <v>356</v>
      </c>
      <c r="R183"/>
    </row>
    <row r="184" ht="14.5" spans="1:18">
      <c r="A184" s="35" t="s">
        <v>328</v>
      </c>
      <c r="B184" s="12" t="str">
        <f t="shared" si="2"/>
        <v>\I: EN_Solar photovoltaics - Buildings</v>
      </c>
      <c r="C184" s="35" t="s">
        <v>107</v>
      </c>
      <c r="D184" s="35">
        <v>2050</v>
      </c>
      <c r="F184" s="35">
        <v>770</v>
      </c>
      <c r="G184" s="35">
        <v>260</v>
      </c>
      <c r="H184" s="35">
        <v>340</v>
      </c>
      <c r="I184" s="35">
        <v>620</v>
      </c>
      <c r="J184" s="35">
        <v>290</v>
      </c>
      <c r="K184" s="35">
        <v>990</v>
      </c>
      <c r="L184" s="35">
        <v>390</v>
      </c>
      <c r="M184" s="35">
        <v>1010</v>
      </c>
      <c r="N184" s="35">
        <v>1510</v>
      </c>
      <c r="P184" s="35" t="s">
        <v>356</v>
      </c>
      <c r="R184"/>
    </row>
    <row r="185" ht="14.5" spans="1:18">
      <c r="A185" s="35" t="s">
        <v>328</v>
      </c>
      <c r="B185" s="12" t="str">
        <f t="shared" si="2"/>
        <v>EN_SPV*</v>
      </c>
      <c r="C185" s="35" t="s">
        <v>329</v>
      </c>
      <c r="D185" s="35">
        <v>2022</v>
      </c>
      <c r="F185" s="35">
        <v>1</v>
      </c>
      <c r="G185" s="35">
        <v>1</v>
      </c>
      <c r="H185" s="35">
        <v>1</v>
      </c>
      <c r="I185" s="35">
        <v>1</v>
      </c>
      <c r="J185" s="35">
        <v>1</v>
      </c>
      <c r="K185" s="35">
        <v>1</v>
      </c>
      <c r="L185" s="35">
        <v>1</v>
      </c>
      <c r="M185" s="35">
        <v>1</v>
      </c>
      <c r="N185" s="35">
        <v>1</v>
      </c>
      <c r="P185" s="35" t="s">
        <v>358</v>
      </c>
      <c r="R185"/>
    </row>
    <row r="186" ht="14.5" spans="1:18">
      <c r="A186" s="35" t="s">
        <v>328</v>
      </c>
      <c r="B186" s="12" t="str">
        <f t="shared" si="2"/>
        <v>EN_SPV*</v>
      </c>
      <c r="C186" s="35" t="s">
        <v>329</v>
      </c>
      <c r="D186" s="35">
        <v>2030</v>
      </c>
      <c r="F186" s="35">
        <v>1</v>
      </c>
      <c r="G186" s="35">
        <v>1</v>
      </c>
      <c r="H186" s="35">
        <v>1</v>
      </c>
      <c r="I186" s="35">
        <v>1</v>
      </c>
      <c r="J186" s="35">
        <v>1</v>
      </c>
      <c r="K186" s="35">
        <v>1</v>
      </c>
      <c r="L186" s="35">
        <v>1</v>
      </c>
      <c r="M186" s="35">
        <v>1</v>
      </c>
      <c r="N186" s="35">
        <v>1</v>
      </c>
      <c r="P186" s="35" t="s">
        <v>358</v>
      </c>
      <c r="R186"/>
    </row>
    <row r="187" ht="14.5" spans="1:18">
      <c r="A187" s="35" t="s">
        <v>328</v>
      </c>
      <c r="B187" s="12" t="str">
        <f t="shared" si="2"/>
        <v>EN_SPV*</v>
      </c>
      <c r="C187" s="35" t="s">
        <v>329</v>
      </c>
      <c r="D187" s="35">
        <v>2050</v>
      </c>
      <c r="F187" s="35">
        <v>1</v>
      </c>
      <c r="G187" s="35">
        <v>1</v>
      </c>
      <c r="H187" s="35">
        <v>1</v>
      </c>
      <c r="I187" s="35">
        <v>1</v>
      </c>
      <c r="J187" s="35">
        <v>1</v>
      </c>
      <c r="K187" s="35">
        <v>1</v>
      </c>
      <c r="L187" s="35">
        <v>1</v>
      </c>
      <c r="M187" s="35">
        <v>1</v>
      </c>
      <c r="N187" s="35">
        <v>1</v>
      </c>
      <c r="P187" s="35" t="s">
        <v>358</v>
      </c>
      <c r="R187"/>
    </row>
    <row r="188" ht="14.5" spans="1:18">
      <c r="A188" s="35" t="s">
        <v>328</v>
      </c>
      <c r="B188" s="12" t="str">
        <f t="shared" si="2"/>
        <v>EN_SPV*</v>
      </c>
      <c r="C188" s="35" t="s">
        <v>336</v>
      </c>
      <c r="D188" s="35">
        <v>2022</v>
      </c>
      <c r="F188" s="35">
        <v>22</v>
      </c>
      <c r="G188" s="35">
        <v>12</v>
      </c>
      <c r="H188" s="35">
        <v>12</v>
      </c>
      <c r="I188" s="35">
        <v>14</v>
      </c>
      <c r="J188" s="35">
        <v>10</v>
      </c>
      <c r="K188" s="35">
        <v>28</v>
      </c>
      <c r="L188" s="35">
        <v>10</v>
      </c>
      <c r="M188" s="35">
        <v>26</v>
      </c>
      <c r="N188" s="35">
        <v>16</v>
      </c>
      <c r="P188" s="35" t="s">
        <v>358</v>
      </c>
      <c r="R188"/>
    </row>
    <row r="189" ht="14.5" spans="1:18">
      <c r="A189" s="35" t="s">
        <v>328</v>
      </c>
      <c r="B189" s="12" t="str">
        <f t="shared" si="2"/>
        <v>EN_SPV*</v>
      </c>
      <c r="C189" s="35" t="s">
        <v>336</v>
      </c>
      <c r="D189" s="35">
        <v>2030</v>
      </c>
      <c r="F189" s="35">
        <v>20</v>
      </c>
      <c r="G189" s="35">
        <v>10</v>
      </c>
      <c r="H189" s="35">
        <v>10</v>
      </c>
      <c r="I189" s="35">
        <v>14</v>
      </c>
      <c r="J189" s="35">
        <v>8</v>
      </c>
      <c r="K189" s="35">
        <v>26</v>
      </c>
      <c r="L189" s="35">
        <v>8</v>
      </c>
      <c r="M189" s="35">
        <v>24</v>
      </c>
      <c r="N189" s="35">
        <v>16</v>
      </c>
      <c r="P189" s="35" t="s">
        <v>358</v>
      </c>
      <c r="R189"/>
    </row>
    <row r="190" ht="14.5" spans="1:18">
      <c r="A190" s="35" t="s">
        <v>328</v>
      </c>
      <c r="B190" s="12" t="str">
        <f t="shared" si="2"/>
        <v>EN_SPV*</v>
      </c>
      <c r="C190" s="35" t="s">
        <v>336</v>
      </c>
      <c r="D190" s="35">
        <v>2050</v>
      </c>
      <c r="F190" s="35">
        <v>18</v>
      </c>
      <c r="G190" s="35">
        <v>10</v>
      </c>
      <c r="H190" s="35">
        <v>10</v>
      </c>
      <c r="I190" s="35">
        <v>12</v>
      </c>
      <c r="J190" s="35">
        <v>8</v>
      </c>
      <c r="K190" s="35">
        <v>24</v>
      </c>
      <c r="L190" s="35">
        <v>8</v>
      </c>
      <c r="M190" s="35">
        <v>22</v>
      </c>
      <c r="N190" s="35">
        <v>16</v>
      </c>
      <c r="P190" s="35" t="s">
        <v>358</v>
      </c>
      <c r="R190"/>
    </row>
    <row r="191" ht="14.5" spans="1:18">
      <c r="A191" s="35" t="s">
        <v>328</v>
      </c>
      <c r="B191" s="12" t="str">
        <f t="shared" si="2"/>
        <v>EN_SPV*</v>
      </c>
      <c r="C191" s="35" t="s">
        <v>107</v>
      </c>
      <c r="D191" s="35">
        <v>2022</v>
      </c>
      <c r="F191" s="35">
        <v>1420</v>
      </c>
      <c r="G191" s="35">
        <v>750</v>
      </c>
      <c r="H191" s="35">
        <v>720</v>
      </c>
      <c r="I191" s="35">
        <v>990</v>
      </c>
      <c r="J191" s="35">
        <v>640</v>
      </c>
      <c r="K191" s="35">
        <v>1910</v>
      </c>
      <c r="L191" s="35">
        <v>620</v>
      </c>
      <c r="M191" s="35">
        <v>1710</v>
      </c>
      <c r="N191" s="35">
        <v>1120</v>
      </c>
      <c r="P191" s="35" t="s">
        <v>358</v>
      </c>
      <c r="R191"/>
    </row>
    <row r="192" ht="14.5" spans="1:18">
      <c r="A192" s="35" t="s">
        <v>328</v>
      </c>
      <c r="B192" s="12" t="str">
        <f t="shared" si="2"/>
        <v>EN_SPV*</v>
      </c>
      <c r="C192" s="35" t="s">
        <v>107</v>
      </c>
      <c r="D192" s="35">
        <v>2030</v>
      </c>
      <c r="F192" s="35">
        <v>850</v>
      </c>
      <c r="G192" s="35">
        <v>460</v>
      </c>
      <c r="H192" s="35">
        <v>430</v>
      </c>
      <c r="I192" s="35">
        <v>620</v>
      </c>
      <c r="J192" s="35">
        <v>390</v>
      </c>
      <c r="K192" s="35">
        <v>1250</v>
      </c>
      <c r="L192" s="35">
        <v>360</v>
      </c>
      <c r="M192" s="35">
        <v>1090</v>
      </c>
      <c r="N192" s="35">
        <v>690</v>
      </c>
      <c r="P192" s="35" t="s">
        <v>358</v>
      </c>
      <c r="R192"/>
    </row>
    <row r="193" ht="14.5" spans="1:18">
      <c r="A193" s="35" t="s">
        <v>328</v>
      </c>
      <c r="B193" s="12" t="str">
        <f t="shared" si="2"/>
        <v>EN_SPV*</v>
      </c>
      <c r="C193" s="35" t="s">
        <v>107</v>
      </c>
      <c r="D193" s="35">
        <v>2050</v>
      </c>
      <c r="F193" s="35">
        <v>580</v>
      </c>
      <c r="G193" s="35">
        <v>330</v>
      </c>
      <c r="H193" s="35">
        <v>300</v>
      </c>
      <c r="I193" s="35">
        <v>450</v>
      </c>
      <c r="J193" s="35">
        <v>270</v>
      </c>
      <c r="K193" s="35">
        <v>940</v>
      </c>
      <c r="L193" s="35">
        <v>250</v>
      </c>
      <c r="M193" s="35">
        <v>770</v>
      </c>
      <c r="N193" s="35">
        <v>480</v>
      </c>
      <c r="P193" s="35" t="s">
        <v>358</v>
      </c>
      <c r="R193"/>
    </row>
    <row r="194" ht="14.5" spans="1:18">
      <c r="A194" s="35" t="s">
        <v>328</v>
      </c>
      <c r="B194" s="12" t="str">
        <f t="shared" si="2"/>
        <v>EN_Steam Coal - SUBCRITICAL</v>
      </c>
      <c r="C194" s="35" t="s">
        <v>329</v>
      </c>
      <c r="D194" s="35">
        <v>2022</v>
      </c>
      <c r="F194" s="35">
        <v>0.35</v>
      </c>
      <c r="G194" s="35">
        <v>0.39</v>
      </c>
      <c r="H194" s="35">
        <v>0.37</v>
      </c>
      <c r="I194" s="35">
        <v>0.39</v>
      </c>
      <c r="J194" s="35">
        <v>0.36</v>
      </c>
      <c r="K194" s="35">
        <v>0.39</v>
      </c>
      <c r="L194" s="35">
        <v>0.37</v>
      </c>
      <c r="M194" s="35">
        <v>0.39</v>
      </c>
      <c r="N194" s="35">
        <v>0.39</v>
      </c>
      <c r="P194" s="35" t="s">
        <v>360</v>
      </c>
      <c r="R194"/>
    </row>
    <row r="195" ht="14.5" spans="1:18">
      <c r="A195" s="35" t="s">
        <v>328</v>
      </c>
      <c r="B195" s="12" t="str">
        <f t="shared" si="2"/>
        <v>EN_Steam Coal - SUBCRITICAL</v>
      </c>
      <c r="C195" s="35" t="s">
        <v>329</v>
      </c>
      <c r="D195" s="35">
        <v>2030</v>
      </c>
      <c r="F195" s="35">
        <v>0.35</v>
      </c>
      <c r="G195" s="35">
        <v>0.39</v>
      </c>
      <c r="H195" s="35">
        <v>0.37</v>
      </c>
      <c r="I195" s="35">
        <v>0.39</v>
      </c>
      <c r="J195" s="35">
        <v>0.36</v>
      </c>
      <c r="K195" s="35">
        <v>0.39</v>
      </c>
      <c r="L195" s="35">
        <v>0.37</v>
      </c>
      <c r="M195" s="35">
        <v>0.39</v>
      </c>
      <c r="N195" s="35">
        <v>0.39</v>
      </c>
      <c r="P195" s="35" t="s">
        <v>360</v>
      </c>
      <c r="R195"/>
    </row>
    <row r="196" ht="14.5" spans="1:18">
      <c r="A196" s="35" t="s">
        <v>328</v>
      </c>
      <c r="B196" s="12" t="str">
        <f t="shared" si="2"/>
        <v>EN_Steam Coal - SUBCRITICAL</v>
      </c>
      <c r="C196" s="35" t="s">
        <v>329</v>
      </c>
      <c r="D196" s="35">
        <v>2050</v>
      </c>
      <c r="F196" s="35">
        <v>0.35</v>
      </c>
      <c r="G196" s="35">
        <v>0.39</v>
      </c>
      <c r="H196" s="35">
        <v>0.37</v>
      </c>
      <c r="I196" s="35">
        <v>0.39</v>
      </c>
      <c r="J196" s="35">
        <v>0.37</v>
      </c>
      <c r="K196" s="35">
        <v>0.39</v>
      </c>
      <c r="L196" s="35">
        <v>0.37</v>
      </c>
      <c r="M196" s="35">
        <v>0.39</v>
      </c>
      <c r="N196" s="35">
        <v>0.39</v>
      </c>
      <c r="P196" s="35" t="s">
        <v>360</v>
      </c>
      <c r="R196"/>
    </row>
    <row r="197" ht="14.5" spans="1:18">
      <c r="A197" s="35" t="s">
        <v>328</v>
      </c>
      <c r="B197" s="12" t="str">
        <f t="shared" si="2"/>
        <v>EN_Steam Coal - SUBCRITICAL</v>
      </c>
      <c r="C197" s="35" t="s">
        <v>336</v>
      </c>
      <c r="D197" s="35">
        <v>2022</v>
      </c>
      <c r="F197" s="35">
        <v>45</v>
      </c>
      <c r="G197" s="35">
        <v>45</v>
      </c>
      <c r="H197" s="35">
        <v>20</v>
      </c>
      <c r="I197" s="35">
        <v>45</v>
      </c>
      <c r="J197" s="35">
        <v>35</v>
      </c>
      <c r="K197" s="35">
        <v>55</v>
      </c>
      <c r="L197" s="35">
        <v>45</v>
      </c>
      <c r="M197" s="35">
        <v>50</v>
      </c>
      <c r="N197" s="35">
        <v>45</v>
      </c>
      <c r="P197" s="35" t="s">
        <v>360</v>
      </c>
      <c r="R197"/>
    </row>
    <row r="198" ht="14.5" spans="1:18">
      <c r="A198" s="35" t="s">
        <v>328</v>
      </c>
      <c r="B198" s="12" t="str">
        <f t="shared" si="2"/>
        <v>EN_Steam Coal - SUBCRITICAL</v>
      </c>
      <c r="C198" s="35" t="s">
        <v>336</v>
      </c>
      <c r="D198" s="35">
        <v>2030</v>
      </c>
      <c r="F198" s="35">
        <v>45</v>
      </c>
      <c r="G198" s="35">
        <v>45</v>
      </c>
      <c r="H198" s="35">
        <v>20</v>
      </c>
      <c r="I198" s="35">
        <v>45</v>
      </c>
      <c r="J198" s="35">
        <v>35</v>
      </c>
      <c r="K198" s="35">
        <v>55</v>
      </c>
      <c r="L198" s="35">
        <v>45</v>
      </c>
      <c r="M198" s="35">
        <v>50</v>
      </c>
      <c r="N198" s="35">
        <v>45</v>
      </c>
      <c r="P198" s="35" t="s">
        <v>360</v>
      </c>
      <c r="R198"/>
    </row>
    <row r="199" ht="14.5" spans="1:18">
      <c r="A199" s="35" t="s">
        <v>328</v>
      </c>
      <c r="B199" s="12" t="str">
        <f t="shared" ref="B199:B238" si="3">VLOOKUP(P199,$Q$4:$R$33,2,FALSE)</f>
        <v>EN_Steam Coal - SUBCRITICAL</v>
      </c>
      <c r="C199" s="35" t="s">
        <v>336</v>
      </c>
      <c r="D199" s="35">
        <v>2050</v>
      </c>
      <c r="F199" s="35">
        <v>45</v>
      </c>
      <c r="G199" s="35">
        <v>45</v>
      </c>
      <c r="H199" s="35">
        <v>20</v>
      </c>
      <c r="I199" s="35">
        <v>45</v>
      </c>
      <c r="J199" s="35">
        <v>35</v>
      </c>
      <c r="K199" s="35">
        <v>55</v>
      </c>
      <c r="L199" s="35">
        <v>45</v>
      </c>
      <c r="M199" s="35">
        <v>50</v>
      </c>
      <c r="N199" s="35">
        <v>45</v>
      </c>
      <c r="P199" s="35" t="s">
        <v>360</v>
      </c>
      <c r="R199"/>
    </row>
    <row r="200" ht="14.5" spans="1:18">
      <c r="A200" s="35" t="s">
        <v>328</v>
      </c>
      <c r="B200" s="12" t="str">
        <f t="shared" si="3"/>
        <v>EN_Steam Coal - SUBCRITICAL</v>
      </c>
      <c r="C200" s="35" t="s">
        <v>107</v>
      </c>
      <c r="D200" s="35">
        <v>2022</v>
      </c>
      <c r="F200" s="35">
        <v>1300</v>
      </c>
      <c r="G200" s="35">
        <v>1300</v>
      </c>
      <c r="H200" s="35">
        <v>600</v>
      </c>
      <c r="I200" s="35">
        <v>1700</v>
      </c>
      <c r="J200" s="35">
        <v>1000</v>
      </c>
      <c r="K200" s="35">
        <v>2100</v>
      </c>
      <c r="L200" s="35">
        <v>1300</v>
      </c>
      <c r="M200" s="35">
        <v>1700</v>
      </c>
      <c r="N200" s="35">
        <v>1800</v>
      </c>
      <c r="P200" s="35" t="s">
        <v>360</v>
      </c>
      <c r="R200"/>
    </row>
    <row r="201" ht="14.5" spans="1:18">
      <c r="A201" s="35" t="s">
        <v>328</v>
      </c>
      <c r="B201" s="12" t="str">
        <f t="shared" si="3"/>
        <v>EN_Steam Coal - SUBCRITICAL</v>
      </c>
      <c r="C201" s="35" t="s">
        <v>107</v>
      </c>
      <c r="D201" s="35">
        <v>2030</v>
      </c>
      <c r="F201" s="35">
        <v>1300</v>
      </c>
      <c r="G201" s="35">
        <v>1300</v>
      </c>
      <c r="H201" s="35">
        <v>600</v>
      </c>
      <c r="I201" s="35">
        <v>1700</v>
      </c>
      <c r="J201" s="35">
        <v>1000</v>
      </c>
      <c r="K201" s="35">
        <v>2100</v>
      </c>
      <c r="L201" s="35">
        <v>1300</v>
      </c>
      <c r="M201" s="35">
        <v>1700</v>
      </c>
      <c r="N201" s="35">
        <v>1800</v>
      </c>
      <c r="P201" s="35" t="s">
        <v>360</v>
      </c>
      <c r="R201"/>
    </row>
    <row r="202" ht="14.5" spans="1:18">
      <c r="A202" s="35" t="s">
        <v>328</v>
      </c>
      <c r="B202" s="12" t="str">
        <f t="shared" si="3"/>
        <v>EN_Steam Coal - SUBCRITICAL</v>
      </c>
      <c r="C202" s="35" t="s">
        <v>107</v>
      </c>
      <c r="D202" s="35">
        <v>2050</v>
      </c>
      <c r="F202" s="35">
        <v>1300</v>
      </c>
      <c r="G202" s="35">
        <v>1300</v>
      </c>
      <c r="H202" s="35">
        <v>600</v>
      </c>
      <c r="I202" s="35">
        <v>1700</v>
      </c>
      <c r="J202" s="35">
        <v>1000</v>
      </c>
      <c r="K202" s="35">
        <v>2100</v>
      </c>
      <c r="L202" s="35">
        <v>1300</v>
      </c>
      <c r="M202" s="35">
        <v>1700</v>
      </c>
      <c r="N202" s="35">
        <v>1800</v>
      </c>
      <c r="P202" s="35" t="s">
        <v>360</v>
      </c>
      <c r="R202"/>
    </row>
    <row r="203" ht="14.5" spans="1:18">
      <c r="A203" s="35" t="s">
        <v>328</v>
      </c>
      <c r="B203" s="12" t="str">
        <f t="shared" si="3"/>
        <v>EN_Steam Coal - SUPERCRITICAL</v>
      </c>
      <c r="C203" s="35" t="s">
        <v>329</v>
      </c>
      <c r="D203" s="35">
        <v>2022</v>
      </c>
      <c r="F203" s="35">
        <v>0.39</v>
      </c>
      <c r="G203" s="35">
        <v>0.43</v>
      </c>
      <c r="H203" s="35">
        <v>0.41</v>
      </c>
      <c r="I203" s="35">
        <v>0.43</v>
      </c>
      <c r="J203" s="35">
        <v>0.4</v>
      </c>
      <c r="K203" s="35">
        <v>0.43</v>
      </c>
      <c r="L203" s="35">
        <v>0.41</v>
      </c>
      <c r="M203" s="35">
        <v>0.43</v>
      </c>
      <c r="N203" s="35">
        <v>0.43</v>
      </c>
      <c r="P203" s="35" t="s">
        <v>361</v>
      </c>
      <c r="R203"/>
    </row>
    <row r="204" ht="14.5" spans="1:18">
      <c r="A204" s="35" t="s">
        <v>328</v>
      </c>
      <c r="B204" s="12" t="str">
        <f t="shared" si="3"/>
        <v>EN_Steam Coal - SUPERCRITICAL</v>
      </c>
      <c r="C204" s="35" t="s">
        <v>329</v>
      </c>
      <c r="D204" s="35">
        <v>2030</v>
      </c>
      <c r="F204" s="35">
        <v>0.39</v>
      </c>
      <c r="G204" s="35">
        <v>0.43</v>
      </c>
      <c r="H204" s="35">
        <v>0.41</v>
      </c>
      <c r="I204" s="35">
        <v>0.43</v>
      </c>
      <c r="J204" s="35">
        <v>0.4</v>
      </c>
      <c r="K204" s="35">
        <v>0.43</v>
      </c>
      <c r="L204" s="35">
        <v>0.41</v>
      </c>
      <c r="M204" s="35">
        <v>0.43</v>
      </c>
      <c r="N204" s="35">
        <v>0.43</v>
      </c>
      <c r="P204" s="35" t="s">
        <v>361</v>
      </c>
      <c r="R204"/>
    </row>
    <row r="205" ht="14.5" spans="1:18">
      <c r="A205" s="35" t="s">
        <v>328</v>
      </c>
      <c r="B205" s="12" t="str">
        <f t="shared" si="3"/>
        <v>EN_Steam Coal - SUPERCRITICAL</v>
      </c>
      <c r="C205" s="35" t="s">
        <v>329</v>
      </c>
      <c r="D205" s="35">
        <v>2050</v>
      </c>
      <c r="F205" s="35">
        <v>0.39</v>
      </c>
      <c r="G205" s="35">
        <v>0.43</v>
      </c>
      <c r="H205" s="35">
        <v>0.41</v>
      </c>
      <c r="I205" s="35">
        <v>0.43</v>
      </c>
      <c r="J205" s="35">
        <v>0.4</v>
      </c>
      <c r="K205" s="35">
        <v>0.43</v>
      </c>
      <c r="L205" s="35">
        <v>0.41</v>
      </c>
      <c r="M205" s="35">
        <v>0.43</v>
      </c>
      <c r="N205" s="35">
        <v>0.43</v>
      </c>
      <c r="P205" s="35" t="s">
        <v>361</v>
      </c>
      <c r="R205"/>
    </row>
    <row r="206" ht="14.5" spans="1:18">
      <c r="A206" s="35" t="s">
        <v>328</v>
      </c>
      <c r="B206" s="12" t="str">
        <f t="shared" si="3"/>
        <v>EN_Steam Coal - SUPERCRITICAL</v>
      </c>
      <c r="C206" s="35" t="s">
        <v>336</v>
      </c>
      <c r="D206" s="35">
        <v>2022</v>
      </c>
      <c r="F206" s="35">
        <v>55</v>
      </c>
      <c r="G206" s="35">
        <v>65</v>
      </c>
      <c r="H206" s="35">
        <v>30</v>
      </c>
      <c r="I206" s="35">
        <v>60</v>
      </c>
      <c r="J206" s="35">
        <v>50</v>
      </c>
      <c r="K206" s="35">
        <v>70</v>
      </c>
      <c r="L206" s="35">
        <v>65</v>
      </c>
      <c r="M206" s="35">
        <v>70</v>
      </c>
      <c r="N206" s="35">
        <v>65</v>
      </c>
      <c r="P206" s="35" t="s">
        <v>361</v>
      </c>
      <c r="R206"/>
    </row>
    <row r="207" ht="14.5" spans="1:18">
      <c r="A207" s="35" t="s">
        <v>328</v>
      </c>
      <c r="B207" s="12" t="str">
        <f t="shared" si="3"/>
        <v>EN_Steam Coal - SUPERCRITICAL</v>
      </c>
      <c r="C207" s="35" t="s">
        <v>336</v>
      </c>
      <c r="D207" s="35">
        <v>2030</v>
      </c>
      <c r="F207" s="35">
        <v>55</v>
      </c>
      <c r="G207" s="35">
        <v>65</v>
      </c>
      <c r="H207" s="35">
        <v>30</v>
      </c>
      <c r="I207" s="35">
        <v>60</v>
      </c>
      <c r="J207" s="35">
        <v>50</v>
      </c>
      <c r="K207" s="35">
        <v>70</v>
      </c>
      <c r="L207" s="35">
        <v>65</v>
      </c>
      <c r="M207" s="35">
        <v>70</v>
      </c>
      <c r="N207" s="35">
        <v>65</v>
      </c>
      <c r="P207" s="35" t="s">
        <v>361</v>
      </c>
      <c r="R207"/>
    </row>
    <row r="208" ht="14.5" spans="1:18">
      <c r="A208" s="35" t="s">
        <v>328</v>
      </c>
      <c r="B208" s="12" t="str">
        <f t="shared" si="3"/>
        <v>EN_Steam Coal - SUPERCRITICAL</v>
      </c>
      <c r="C208" s="35" t="s">
        <v>336</v>
      </c>
      <c r="D208" s="35">
        <v>2050</v>
      </c>
      <c r="F208" s="35">
        <v>55</v>
      </c>
      <c r="G208" s="35">
        <v>65</v>
      </c>
      <c r="H208" s="35">
        <v>30</v>
      </c>
      <c r="I208" s="35">
        <v>60</v>
      </c>
      <c r="J208" s="35">
        <v>50</v>
      </c>
      <c r="K208" s="35">
        <v>70</v>
      </c>
      <c r="L208" s="35">
        <v>65</v>
      </c>
      <c r="M208" s="35">
        <v>70</v>
      </c>
      <c r="N208" s="35">
        <v>65</v>
      </c>
      <c r="P208" s="35" t="s">
        <v>361</v>
      </c>
      <c r="R208"/>
    </row>
    <row r="209" ht="14.5" spans="1:18">
      <c r="A209" s="35" t="s">
        <v>328</v>
      </c>
      <c r="B209" s="12" t="str">
        <f t="shared" si="3"/>
        <v>EN_Steam Coal - SUPERCRITICAL</v>
      </c>
      <c r="C209" s="35" t="s">
        <v>107</v>
      </c>
      <c r="D209" s="35">
        <v>2022</v>
      </c>
      <c r="F209" s="35">
        <v>1600</v>
      </c>
      <c r="G209" s="35">
        <v>1600</v>
      </c>
      <c r="H209" s="35">
        <v>700</v>
      </c>
      <c r="I209" s="35">
        <v>2000</v>
      </c>
      <c r="J209" s="35">
        <v>1200</v>
      </c>
      <c r="K209" s="35">
        <v>2400</v>
      </c>
      <c r="L209" s="35">
        <v>1600</v>
      </c>
      <c r="M209" s="35">
        <v>2000</v>
      </c>
      <c r="N209" s="35">
        <v>2100</v>
      </c>
      <c r="P209" s="35" t="s">
        <v>361</v>
      </c>
      <c r="R209"/>
    </row>
    <row r="210" ht="14.5" spans="1:18">
      <c r="A210" s="35" t="s">
        <v>328</v>
      </c>
      <c r="B210" s="12" t="str">
        <f t="shared" si="3"/>
        <v>EN_Steam Coal - SUPERCRITICAL</v>
      </c>
      <c r="C210" s="35" t="s">
        <v>107</v>
      </c>
      <c r="D210" s="35">
        <v>2030</v>
      </c>
      <c r="F210" s="35">
        <v>1600</v>
      </c>
      <c r="G210" s="35">
        <v>1600</v>
      </c>
      <c r="H210" s="35">
        <v>700</v>
      </c>
      <c r="I210" s="35">
        <v>2000</v>
      </c>
      <c r="J210" s="35">
        <v>1200</v>
      </c>
      <c r="K210" s="35">
        <v>2400</v>
      </c>
      <c r="L210" s="35">
        <v>1600</v>
      </c>
      <c r="M210" s="35">
        <v>2000</v>
      </c>
      <c r="N210" s="35">
        <v>2100</v>
      </c>
      <c r="P210" s="35" t="s">
        <v>361</v>
      </c>
      <c r="R210"/>
    </row>
    <row r="211" ht="14.5" spans="1:18">
      <c r="A211" s="35" t="s">
        <v>328</v>
      </c>
      <c r="B211" s="12" t="str">
        <f t="shared" si="3"/>
        <v>EN_Steam Coal - SUPERCRITICAL</v>
      </c>
      <c r="C211" s="35" t="s">
        <v>107</v>
      </c>
      <c r="D211" s="35">
        <v>2050</v>
      </c>
      <c r="F211" s="35">
        <v>1600</v>
      </c>
      <c r="G211" s="35">
        <v>1600</v>
      </c>
      <c r="H211" s="35">
        <v>700</v>
      </c>
      <c r="I211" s="35">
        <v>2000</v>
      </c>
      <c r="J211" s="35">
        <v>1200</v>
      </c>
      <c r="K211" s="35">
        <v>2400</v>
      </c>
      <c r="L211" s="35">
        <v>1600</v>
      </c>
      <c r="M211" s="35">
        <v>2000</v>
      </c>
      <c r="N211" s="35">
        <v>2100</v>
      </c>
      <c r="P211" s="35" t="s">
        <v>361</v>
      </c>
      <c r="R211"/>
    </row>
    <row r="212" ht="14.5" spans="1:18">
      <c r="A212" s="35" t="s">
        <v>328</v>
      </c>
      <c r="B212" s="12" t="str">
        <f t="shared" si="3"/>
        <v>EN_Steam Coal - ULTRASUPERCRITICAL</v>
      </c>
      <c r="C212" s="35" t="s">
        <v>329</v>
      </c>
      <c r="D212" s="35">
        <v>2022</v>
      </c>
      <c r="F212" s="35">
        <v>0.42</v>
      </c>
      <c r="G212" s="35">
        <v>0.45</v>
      </c>
      <c r="H212" s="35">
        <v>0.44</v>
      </c>
      <c r="I212" s="35">
        <v>0.45</v>
      </c>
      <c r="J212" s="35">
        <v>0.4</v>
      </c>
      <c r="K212" s="35">
        <v>0.45</v>
      </c>
      <c r="L212" s="35">
        <v>0.43</v>
      </c>
      <c r="M212" s="35">
        <v>0.45</v>
      </c>
      <c r="N212" s="35">
        <v>0.45</v>
      </c>
      <c r="P212" s="35" t="s">
        <v>362</v>
      </c>
      <c r="R212"/>
    </row>
    <row r="213" ht="14.5" spans="1:18">
      <c r="A213" s="35" t="s">
        <v>328</v>
      </c>
      <c r="B213" s="12" t="str">
        <f t="shared" si="3"/>
        <v>EN_Steam Coal - ULTRASUPERCRITICAL</v>
      </c>
      <c r="C213" s="35" t="s">
        <v>329</v>
      </c>
      <c r="D213" s="35">
        <v>2030</v>
      </c>
      <c r="F213" s="35">
        <v>0.43</v>
      </c>
      <c r="G213" s="35">
        <v>0.47</v>
      </c>
      <c r="H213" s="35">
        <v>0.46</v>
      </c>
      <c r="I213" s="35">
        <v>0.47</v>
      </c>
      <c r="J213" s="35">
        <v>0.42</v>
      </c>
      <c r="K213" s="35">
        <v>0.47</v>
      </c>
      <c r="L213" s="35">
        <v>0.45</v>
      </c>
      <c r="M213" s="35">
        <v>0.47</v>
      </c>
      <c r="N213" s="35">
        <v>0.47</v>
      </c>
      <c r="P213" s="35" t="s">
        <v>362</v>
      </c>
      <c r="R213"/>
    </row>
    <row r="214" ht="14.5" spans="1:18">
      <c r="A214" s="35" t="s">
        <v>328</v>
      </c>
      <c r="B214" s="12" t="str">
        <f t="shared" si="3"/>
        <v>EN_Steam Coal - ULTRASUPERCRITICAL</v>
      </c>
      <c r="C214" s="35" t="s">
        <v>329</v>
      </c>
      <c r="D214" s="35">
        <v>2050</v>
      </c>
      <c r="F214" s="35">
        <v>0.44</v>
      </c>
      <c r="G214" s="35">
        <v>0.47</v>
      </c>
      <c r="H214" s="35">
        <v>0.47</v>
      </c>
      <c r="I214" s="35">
        <v>0.47</v>
      </c>
      <c r="J214" s="35">
        <v>0.43</v>
      </c>
      <c r="K214" s="35">
        <v>0.47</v>
      </c>
      <c r="L214" s="35">
        <v>0.45</v>
      </c>
      <c r="M214" s="35">
        <v>0.47</v>
      </c>
      <c r="N214" s="35">
        <v>0.47</v>
      </c>
      <c r="P214" s="35" t="s">
        <v>362</v>
      </c>
      <c r="R214"/>
    </row>
    <row r="215" ht="14.5" spans="1:18">
      <c r="A215" s="35" t="s">
        <v>328</v>
      </c>
      <c r="B215" s="12" t="str">
        <f t="shared" si="3"/>
        <v>EN_Steam Coal - ULTRASUPERCRITICAL</v>
      </c>
      <c r="C215" s="35" t="s">
        <v>336</v>
      </c>
      <c r="D215" s="35">
        <v>2022</v>
      </c>
      <c r="F215" s="35">
        <v>70</v>
      </c>
      <c r="G215" s="35">
        <v>70</v>
      </c>
      <c r="H215" s="35">
        <v>30</v>
      </c>
      <c r="I215" s="35">
        <v>65</v>
      </c>
      <c r="J215" s="35">
        <v>55</v>
      </c>
      <c r="K215" s="35">
        <v>80</v>
      </c>
      <c r="L215" s="35">
        <v>65</v>
      </c>
      <c r="M215" s="35">
        <v>65</v>
      </c>
      <c r="N215" s="35">
        <v>70</v>
      </c>
      <c r="P215" s="35" t="s">
        <v>362</v>
      </c>
      <c r="R215"/>
    </row>
    <row r="216" ht="14.5" spans="1:18">
      <c r="A216" s="35" t="s">
        <v>328</v>
      </c>
      <c r="B216" s="12" t="str">
        <f t="shared" si="3"/>
        <v>EN_Steam Coal - ULTRASUPERCRITICAL</v>
      </c>
      <c r="C216" s="35" t="s">
        <v>336</v>
      </c>
      <c r="D216" s="35">
        <v>2030</v>
      </c>
      <c r="F216" s="35">
        <v>70</v>
      </c>
      <c r="G216" s="35">
        <v>70</v>
      </c>
      <c r="H216" s="35">
        <v>30</v>
      </c>
      <c r="I216" s="35">
        <v>65</v>
      </c>
      <c r="J216" s="35">
        <v>55</v>
      </c>
      <c r="K216" s="35">
        <v>80</v>
      </c>
      <c r="L216" s="35">
        <v>65</v>
      </c>
      <c r="M216" s="35">
        <v>65</v>
      </c>
      <c r="N216" s="35">
        <v>70</v>
      </c>
      <c r="P216" s="35" t="s">
        <v>362</v>
      </c>
      <c r="R216"/>
    </row>
    <row r="217" ht="14.5" spans="1:18">
      <c r="A217" s="35" t="s">
        <v>328</v>
      </c>
      <c r="B217" s="12" t="str">
        <f t="shared" si="3"/>
        <v>EN_Steam Coal - ULTRASUPERCRITICAL</v>
      </c>
      <c r="C217" s="35" t="s">
        <v>336</v>
      </c>
      <c r="D217" s="35">
        <v>2050</v>
      </c>
      <c r="F217" s="35">
        <v>70</v>
      </c>
      <c r="G217" s="35">
        <v>70</v>
      </c>
      <c r="H217" s="35">
        <v>30</v>
      </c>
      <c r="I217" s="35">
        <v>65</v>
      </c>
      <c r="J217" s="35">
        <v>55</v>
      </c>
      <c r="K217" s="35">
        <v>80</v>
      </c>
      <c r="L217" s="35">
        <v>65</v>
      </c>
      <c r="M217" s="35">
        <v>65</v>
      </c>
      <c r="N217" s="35">
        <v>70</v>
      </c>
      <c r="P217" s="35" t="s">
        <v>362</v>
      </c>
      <c r="R217"/>
    </row>
    <row r="218" ht="14.5" spans="1:18">
      <c r="A218" s="35" t="s">
        <v>328</v>
      </c>
      <c r="B218" s="12" t="str">
        <f t="shared" si="3"/>
        <v>EN_Steam Coal - ULTRASUPERCRITICAL</v>
      </c>
      <c r="C218" s="35" t="s">
        <v>107</v>
      </c>
      <c r="D218" s="35">
        <v>2022</v>
      </c>
      <c r="F218" s="35">
        <v>1900</v>
      </c>
      <c r="G218" s="35">
        <v>1800</v>
      </c>
      <c r="H218" s="35">
        <v>800</v>
      </c>
      <c r="I218" s="35">
        <v>2200</v>
      </c>
      <c r="J218" s="35">
        <v>1400</v>
      </c>
      <c r="K218" s="35">
        <v>2600</v>
      </c>
      <c r="L218" s="35">
        <v>1600</v>
      </c>
      <c r="M218" s="35">
        <v>2200</v>
      </c>
      <c r="N218" s="35">
        <v>2300</v>
      </c>
      <c r="P218" s="35" t="s">
        <v>362</v>
      </c>
      <c r="R218"/>
    </row>
    <row r="219" ht="14.5" spans="1:18">
      <c r="A219" s="35" t="s">
        <v>328</v>
      </c>
      <c r="B219" s="12" t="str">
        <f t="shared" si="3"/>
        <v>EN_Steam Coal - ULTRASUPERCRITICAL</v>
      </c>
      <c r="C219" s="35" t="s">
        <v>107</v>
      </c>
      <c r="D219" s="35">
        <v>2030</v>
      </c>
      <c r="F219" s="35">
        <v>1900</v>
      </c>
      <c r="G219" s="35">
        <v>1800</v>
      </c>
      <c r="H219" s="35">
        <v>800</v>
      </c>
      <c r="I219" s="35">
        <v>2200</v>
      </c>
      <c r="J219" s="35">
        <v>1400</v>
      </c>
      <c r="K219" s="35">
        <v>2600</v>
      </c>
      <c r="L219" s="35">
        <v>1600</v>
      </c>
      <c r="M219" s="35">
        <v>2200</v>
      </c>
      <c r="N219" s="35">
        <v>2300</v>
      </c>
      <c r="P219" s="35" t="s">
        <v>362</v>
      </c>
      <c r="R219"/>
    </row>
    <row r="220" ht="14.5" spans="1:18">
      <c r="A220" s="35" t="s">
        <v>328</v>
      </c>
      <c r="B220" s="12" t="str">
        <f t="shared" si="3"/>
        <v>EN_Steam Coal - ULTRASUPERCRITICAL</v>
      </c>
      <c r="C220" s="35" t="s">
        <v>107</v>
      </c>
      <c r="D220" s="35">
        <v>2050</v>
      </c>
      <c r="F220" s="35">
        <v>1900</v>
      </c>
      <c r="G220" s="35">
        <v>1800</v>
      </c>
      <c r="H220" s="35">
        <v>800</v>
      </c>
      <c r="I220" s="35">
        <v>2200</v>
      </c>
      <c r="J220" s="35">
        <v>1400</v>
      </c>
      <c r="K220" s="35">
        <v>2600</v>
      </c>
      <c r="L220" s="35">
        <v>1600</v>
      </c>
      <c r="M220" s="35">
        <v>2200</v>
      </c>
      <c r="N220" s="35">
        <v>2300</v>
      </c>
      <c r="P220" s="35" t="s">
        <v>362</v>
      </c>
      <c r="R220"/>
    </row>
    <row r="221" ht="14.5" spans="1:18">
      <c r="A221" s="35" t="s">
        <v>328</v>
      </c>
      <c r="B221" s="12" t="str">
        <f t="shared" si="3"/>
        <v>EN_WOF*</v>
      </c>
      <c r="C221" s="35" t="s">
        <v>329</v>
      </c>
      <c r="D221" s="35">
        <v>2022</v>
      </c>
      <c r="F221" s="35">
        <v>1</v>
      </c>
      <c r="G221" s="35">
        <v>1</v>
      </c>
      <c r="H221" s="35">
        <v>1</v>
      </c>
      <c r="I221" s="35">
        <v>1</v>
      </c>
      <c r="J221" s="35">
        <v>1</v>
      </c>
      <c r="K221" s="35">
        <v>1</v>
      </c>
      <c r="L221" s="35">
        <v>1</v>
      </c>
      <c r="M221" s="35">
        <v>1</v>
      </c>
      <c r="N221" s="35">
        <v>1</v>
      </c>
      <c r="P221" s="35" t="s">
        <v>363</v>
      </c>
      <c r="R221"/>
    </row>
    <row r="222" ht="14.5" spans="1:18">
      <c r="A222" s="35" t="s">
        <v>328</v>
      </c>
      <c r="B222" s="12" t="str">
        <f t="shared" si="3"/>
        <v>EN_WOF*</v>
      </c>
      <c r="C222" s="35" t="s">
        <v>329</v>
      </c>
      <c r="D222" s="35">
        <v>2030</v>
      </c>
      <c r="F222" s="35">
        <v>1</v>
      </c>
      <c r="G222" s="35">
        <v>1</v>
      </c>
      <c r="H222" s="35">
        <v>1</v>
      </c>
      <c r="I222" s="35">
        <v>1</v>
      </c>
      <c r="J222" s="35">
        <v>1</v>
      </c>
      <c r="K222" s="35">
        <v>1</v>
      </c>
      <c r="L222" s="35">
        <v>1</v>
      </c>
      <c r="M222" s="35">
        <v>1</v>
      </c>
      <c r="N222" s="35">
        <v>1</v>
      </c>
      <c r="P222" s="35" t="s">
        <v>363</v>
      </c>
      <c r="R222"/>
    </row>
    <row r="223" ht="14.5" spans="1:18">
      <c r="A223" s="35" t="s">
        <v>328</v>
      </c>
      <c r="B223" s="12" t="str">
        <f t="shared" si="3"/>
        <v>EN_WOF*</v>
      </c>
      <c r="C223" s="35" t="s">
        <v>329</v>
      </c>
      <c r="D223" s="35">
        <v>2050</v>
      </c>
      <c r="F223" s="35">
        <v>1</v>
      </c>
      <c r="G223" s="35">
        <v>1</v>
      </c>
      <c r="H223" s="35">
        <v>1</v>
      </c>
      <c r="I223" s="35">
        <v>1</v>
      </c>
      <c r="J223" s="35">
        <v>1</v>
      </c>
      <c r="K223" s="35">
        <v>1</v>
      </c>
      <c r="L223" s="35">
        <v>1</v>
      </c>
      <c r="M223" s="35">
        <v>1</v>
      </c>
      <c r="N223" s="35">
        <v>1</v>
      </c>
      <c r="P223" s="35" t="s">
        <v>363</v>
      </c>
      <c r="R223"/>
    </row>
    <row r="224" ht="14.5" spans="1:18">
      <c r="A224" s="35" t="s">
        <v>328</v>
      </c>
      <c r="B224" s="12" t="str">
        <f t="shared" si="3"/>
        <v>EN_WOF*</v>
      </c>
      <c r="C224" s="35" t="s">
        <v>336</v>
      </c>
      <c r="D224" s="35">
        <v>2022</v>
      </c>
      <c r="F224" s="35">
        <v>105</v>
      </c>
      <c r="G224" s="35">
        <v>110</v>
      </c>
      <c r="H224" s="35">
        <v>70</v>
      </c>
      <c r="I224" s="35">
        <v>70</v>
      </c>
      <c r="J224" s="35">
        <v>75</v>
      </c>
      <c r="K224" s="35">
        <v>165</v>
      </c>
      <c r="L224" s="35">
        <v>110</v>
      </c>
      <c r="M224" s="35">
        <v>115</v>
      </c>
      <c r="N224" s="35">
        <v>120</v>
      </c>
      <c r="P224" s="35" t="s">
        <v>363</v>
      </c>
      <c r="R224"/>
    </row>
    <row r="225" ht="14.5" spans="1:18">
      <c r="A225" s="35" t="s">
        <v>328</v>
      </c>
      <c r="B225" s="12" t="str">
        <f t="shared" si="3"/>
        <v>EN_WOF*</v>
      </c>
      <c r="C225" s="35" t="s">
        <v>336</v>
      </c>
      <c r="D225" s="35">
        <v>2030</v>
      </c>
      <c r="F225" s="35">
        <v>80</v>
      </c>
      <c r="G225" s="35">
        <v>80</v>
      </c>
      <c r="H225" s="35">
        <v>50</v>
      </c>
      <c r="I225" s="35">
        <v>50</v>
      </c>
      <c r="J225" s="35">
        <v>55</v>
      </c>
      <c r="K225" s="35">
        <v>115</v>
      </c>
      <c r="L225" s="35">
        <v>80</v>
      </c>
      <c r="M225" s="35">
        <v>85</v>
      </c>
      <c r="N225" s="35">
        <v>90</v>
      </c>
      <c r="P225" s="35" t="s">
        <v>363</v>
      </c>
      <c r="R225"/>
    </row>
    <row r="226" ht="14.5" spans="1:18">
      <c r="A226" s="35" t="s">
        <v>328</v>
      </c>
      <c r="B226" s="12" t="str">
        <f t="shared" si="3"/>
        <v>EN_WOF*</v>
      </c>
      <c r="C226" s="35" t="s">
        <v>336</v>
      </c>
      <c r="D226" s="35">
        <v>2050</v>
      </c>
      <c r="F226" s="35">
        <v>65</v>
      </c>
      <c r="G226" s="35">
        <v>65</v>
      </c>
      <c r="H226" s="35">
        <v>45</v>
      </c>
      <c r="I226" s="35">
        <v>45</v>
      </c>
      <c r="J226" s="35">
        <v>45</v>
      </c>
      <c r="K226" s="35">
        <v>95</v>
      </c>
      <c r="L226" s="35">
        <v>65</v>
      </c>
      <c r="M226" s="35">
        <v>70</v>
      </c>
      <c r="N226" s="35">
        <v>70</v>
      </c>
      <c r="P226" s="35" t="s">
        <v>363</v>
      </c>
      <c r="R226"/>
    </row>
    <row r="227" ht="14.5" spans="1:18">
      <c r="A227" s="35" t="s">
        <v>328</v>
      </c>
      <c r="B227" s="12" t="str">
        <f t="shared" si="3"/>
        <v>EN_WOF*</v>
      </c>
      <c r="C227" s="35" t="s">
        <v>107</v>
      </c>
      <c r="D227" s="35">
        <v>2022</v>
      </c>
      <c r="F227" s="35">
        <v>4260</v>
      </c>
      <c r="G227" s="35">
        <v>4440</v>
      </c>
      <c r="H227" s="35">
        <v>2820</v>
      </c>
      <c r="I227" s="35">
        <v>3420</v>
      </c>
      <c r="J227" s="35">
        <v>3060</v>
      </c>
      <c r="K227" s="35">
        <v>6640</v>
      </c>
      <c r="L227" s="35">
        <v>4400</v>
      </c>
      <c r="M227" s="35">
        <v>4600</v>
      </c>
      <c r="N227" s="35">
        <v>4060</v>
      </c>
      <c r="P227" s="35" t="s">
        <v>363</v>
      </c>
      <c r="R227"/>
    </row>
    <row r="228" ht="14.5" spans="1:18">
      <c r="A228" s="35" t="s">
        <v>328</v>
      </c>
      <c r="B228" s="12" t="str">
        <f t="shared" si="3"/>
        <v>EN_WOF*</v>
      </c>
      <c r="C228" s="35" t="s">
        <v>107</v>
      </c>
      <c r="D228" s="35">
        <v>2030</v>
      </c>
      <c r="F228" s="35">
        <v>2880</v>
      </c>
      <c r="G228" s="35">
        <v>3000</v>
      </c>
      <c r="H228" s="35">
        <v>1880</v>
      </c>
      <c r="I228" s="35">
        <v>2280</v>
      </c>
      <c r="J228" s="35">
        <v>2060</v>
      </c>
      <c r="K228" s="35">
        <v>4180</v>
      </c>
      <c r="L228" s="35">
        <v>3000</v>
      </c>
      <c r="M228" s="35">
        <v>3120</v>
      </c>
      <c r="N228" s="35">
        <v>2520</v>
      </c>
      <c r="P228" s="35" t="s">
        <v>363</v>
      </c>
      <c r="R228"/>
    </row>
    <row r="229" ht="14.5" spans="1:18">
      <c r="A229" s="35" t="s">
        <v>328</v>
      </c>
      <c r="B229" s="12" t="str">
        <f t="shared" si="3"/>
        <v>EN_WOF*</v>
      </c>
      <c r="C229" s="35" t="s">
        <v>107</v>
      </c>
      <c r="D229" s="35">
        <v>2050</v>
      </c>
      <c r="F229" s="35">
        <v>2080</v>
      </c>
      <c r="G229" s="35">
        <v>2160</v>
      </c>
      <c r="H229" s="35">
        <v>1420</v>
      </c>
      <c r="I229" s="35">
        <v>1740</v>
      </c>
      <c r="J229" s="35">
        <v>1500</v>
      </c>
      <c r="K229" s="35">
        <v>3160</v>
      </c>
      <c r="L229" s="35">
        <v>2180</v>
      </c>
      <c r="M229" s="35">
        <v>2280</v>
      </c>
      <c r="N229" s="35">
        <v>1900</v>
      </c>
      <c r="P229" s="35" t="s">
        <v>363</v>
      </c>
      <c r="R229"/>
    </row>
    <row r="230" ht="14.5" spans="1:18">
      <c r="A230" s="35" t="s">
        <v>328</v>
      </c>
      <c r="B230" s="12" t="str">
        <f t="shared" si="3"/>
        <v>EN_WON*</v>
      </c>
      <c r="C230" s="35" t="s">
        <v>329</v>
      </c>
      <c r="D230" s="35">
        <v>2022</v>
      </c>
      <c r="F230" s="35">
        <v>1</v>
      </c>
      <c r="G230" s="35">
        <v>1</v>
      </c>
      <c r="H230" s="35">
        <v>1</v>
      </c>
      <c r="I230" s="35">
        <v>1</v>
      </c>
      <c r="J230" s="35">
        <v>1</v>
      </c>
      <c r="K230" s="35">
        <v>1</v>
      </c>
      <c r="L230" s="35">
        <v>1</v>
      </c>
      <c r="M230" s="35">
        <v>1</v>
      </c>
      <c r="N230" s="35">
        <v>1</v>
      </c>
      <c r="P230" s="35" t="s">
        <v>365</v>
      </c>
      <c r="R230"/>
    </row>
    <row r="231" ht="14.5" spans="1:18">
      <c r="A231" s="35" t="s">
        <v>328</v>
      </c>
      <c r="B231" s="12" t="str">
        <f t="shared" si="3"/>
        <v>EN_WON*</v>
      </c>
      <c r="C231" s="35" t="s">
        <v>329</v>
      </c>
      <c r="D231" s="35">
        <v>2030</v>
      </c>
      <c r="F231" s="35">
        <v>1</v>
      </c>
      <c r="G231" s="35">
        <v>1</v>
      </c>
      <c r="H231" s="35">
        <v>1</v>
      </c>
      <c r="I231" s="35">
        <v>1</v>
      </c>
      <c r="J231" s="35">
        <v>1</v>
      </c>
      <c r="K231" s="35">
        <v>1</v>
      </c>
      <c r="L231" s="35">
        <v>1</v>
      </c>
      <c r="M231" s="35">
        <v>1</v>
      </c>
      <c r="N231" s="35">
        <v>1</v>
      </c>
      <c r="P231" s="35" t="s">
        <v>365</v>
      </c>
      <c r="R231"/>
    </row>
    <row r="232" ht="14.5" spans="1:18">
      <c r="A232" s="35" t="s">
        <v>328</v>
      </c>
      <c r="B232" s="12" t="str">
        <f t="shared" si="3"/>
        <v>EN_WON*</v>
      </c>
      <c r="C232" s="35" t="s">
        <v>329</v>
      </c>
      <c r="D232" s="35">
        <v>2050</v>
      </c>
      <c r="F232" s="35">
        <v>1</v>
      </c>
      <c r="G232" s="35">
        <v>1</v>
      </c>
      <c r="H232" s="35">
        <v>1</v>
      </c>
      <c r="I232" s="35">
        <v>1</v>
      </c>
      <c r="J232" s="35">
        <v>1</v>
      </c>
      <c r="K232" s="35">
        <v>1</v>
      </c>
      <c r="L232" s="35">
        <v>1</v>
      </c>
      <c r="M232" s="35">
        <v>1</v>
      </c>
      <c r="N232" s="35">
        <v>1</v>
      </c>
      <c r="P232" s="35" t="s">
        <v>365</v>
      </c>
      <c r="R232"/>
    </row>
    <row r="233" ht="14.5" spans="1:18">
      <c r="A233" s="35" t="s">
        <v>328</v>
      </c>
      <c r="B233" s="12" t="str">
        <f t="shared" si="3"/>
        <v>EN_WON*</v>
      </c>
      <c r="C233" s="35" t="s">
        <v>336</v>
      </c>
      <c r="D233" s="35">
        <v>2022</v>
      </c>
      <c r="F233" s="35">
        <v>48</v>
      </c>
      <c r="G233" s="35">
        <v>26</v>
      </c>
      <c r="H233" s="35">
        <v>28</v>
      </c>
      <c r="I233" s="35">
        <v>46</v>
      </c>
      <c r="J233" s="35">
        <v>28</v>
      </c>
      <c r="K233" s="35">
        <v>88</v>
      </c>
      <c r="L233" s="35">
        <v>48</v>
      </c>
      <c r="M233" s="35">
        <v>40</v>
      </c>
      <c r="N233" s="35">
        <v>30</v>
      </c>
      <c r="P233" s="35" t="s">
        <v>365</v>
      </c>
      <c r="R233"/>
    </row>
    <row r="234" ht="14.5" spans="1:18">
      <c r="A234" s="35" t="s">
        <v>328</v>
      </c>
      <c r="B234" s="12" t="str">
        <f t="shared" si="3"/>
        <v>EN_WON*</v>
      </c>
      <c r="C234" s="35" t="s">
        <v>336</v>
      </c>
      <c r="D234" s="35">
        <v>2030</v>
      </c>
      <c r="F234" s="35">
        <v>46</v>
      </c>
      <c r="G234" s="35">
        <v>26</v>
      </c>
      <c r="H234" s="35">
        <v>26</v>
      </c>
      <c r="I234" s="35">
        <v>42</v>
      </c>
      <c r="J234" s="35">
        <v>26</v>
      </c>
      <c r="K234" s="35">
        <v>84</v>
      </c>
      <c r="L234" s="35">
        <v>46</v>
      </c>
      <c r="M234" s="35">
        <v>40</v>
      </c>
      <c r="N234" s="35">
        <v>30</v>
      </c>
      <c r="P234" s="35" t="s">
        <v>365</v>
      </c>
      <c r="R234"/>
    </row>
    <row r="235" ht="14.5" spans="1:18">
      <c r="A235" s="35" t="s">
        <v>328</v>
      </c>
      <c r="B235" s="12" t="str">
        <f t="shared" si="3"/>
        <v>EN_WON*</v>
      </c>
      <c r="C235" s="35" t="s">
        <v>336</v>
      </c>
      <c r="D235" s="35">
        <v>2050</v>
      </c>
      <c r="F235" s="35">
        <v>44</v>
      </c>
      <c r="G235" s="35">
        <v>24</v>
      </c>
      <c r="H235" s="35">
        <v>26</v>
      </c>
      <c r="I235" s="35">
        <v>42</v>
      </c>
      <c r="J235" s="35">
        <v>26</v>
      </c>
      <c r="K235" s="35">
        <v>82</v>
      </c>
      <c r="L235" s="35">
        <v>44</v>
      </c>
      <c r="M235" s="35">
        <v>38</v>
      </c>
      <c r="N235" s="35">
        <v>30</v>
      </c>
      <c r="P235" s="35" t="s">
        <v>365</v>
      </c>
      <c r="R235"/>
    </row>
    <row r="236" ht="14.5" spans="1:18">
      <c r="A236" s="35" t="s">
        <v>328</v>
      </c>
      <c r="B236" s="12" t="str">
        <f t="shared" si="3"/>
        <v>EN_WON*</v>
      </c>
      <c r="C236" s="35" t="s">
        <v>107</v>
      </c>
      <c r="D236" s="35">
        <v>2022</v>
      </c>
      <c r="F236" s="35">
        <v>1950</v>
      </c>
      <c r="G236" s="35">
        <v>1050</v>
      </c>
      <c r="H236" s="35">
        <v>1100</v>
      </c>
      <c r="I236" s="35">
        <v>1750</v>
      </c>
      <c r="J236" s="35">
        <v>1120</v>
      </c>
      <c r="K236" s="35">
        <v>3520</v>
      </c>
      <c r="L236" s="35">
        <v>1950</v>
      </c>
      <c r="M236" s="35">
        <v>1640</v>
      </c>
      <c r="N236" s="35">
        <v>1220</v>
      </c>
      <c r="P236" s="35" t="s">
        <v>365</v>
      </c>
      <c r="R236"/>
    </row>
    <row r="237" ht="14.5" spans="1:18">
      <c r="A237" s="35" t="s">
        <v>328</v>
      </c>
      <c r="B237" s="12" t="str">
        <f t="shared" si="3"/>
        <v>EN_WON*</v>
      </c>
      <c r="C237" s="35" t="s">
        <v>107</v>
      </c>
      <c r="D237" s="35">
        <v>2030</v>
      </c>
      <c r="F237" s="35">
        <v>1830</v>
      </c>
      <c r="G237" s="35">
        <v>1000</v>
      </c>
      <c r="H237" s="35">
        <v>1040</v>
      </c>
      <c r="I237" s="35">
        <v>1670</v>
      </c>
      <c r="J237" s="35">
        <v>1060</v>
      </c>
      <c r="K237" s="35">
        <v>3320</v>
      </c>
      <c r="L237" s="35">
        <v>1830</v>
      </c>
      <c r="M237" s="35">
        <v>1550</v>
      </c>
      <c r="N237" s="35">
        <v>1160</v>
      </c>
      <c r="P237" s="35" t="s">
        <v>365</v>
      </c>
      <c r="R237"/>
    </row>
    <row r="238" ht="14.5" spans="1:18">
      <c r="A238" s="35" t="s">
        <v>328</v>
      </c>
      <c r="B238" s="12" t="str">
        <f t="shared" si="3"/>
        <v>EN_WON*</v>
      </c>
      <c r="C238" s="35" t="s">
        <v>107</v>
      </c>
      <c r="D238" s="35">
        <v>2050</v>
      </c>
      <c r="F238" s="35">
        <v>1740</v>
      </c>
      <c r="G238" s="35">
        <v>950</v>
      </c>
      <c r="H238" s="35">
        <v>1000</v>
      </c>
      <c r="I238" s="35">
        <v>1610</v>
      </c>
      <c r="J238" s="35">
        <v>1010</v>
      </c>
      <c r="K238" s="35">
        <v>3170</v>
      </c>
      <c r="L238" s="35">
        <v>1710</v>
      </c>
      <c r="M238" s="35">
        <v>1470</v>
      </c>
      <c r="N238" s="35">
        <v>1110</v>
      </c>
      <c r="P238" s="35" t="s">
        <v>365</v>
      </c>
      <c r="R238"/>
    </row>
  </sheetData>
  <pageMargins left="0.7" right="0.7" top="0.75" bottom="0.75" header="0.3" footer="0.3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3"/>
  </sheetPr>
  <dimension ref="B1:O14"/>
  <sheetViews>
    <sheetView zoomScale="56" zoomScaleNormal="56" workbookViewId="0">
      <selection activeCell="N28" sqref="N28"/>
    </sheetView>
  </sheetViews>
  <sheetFormatPr defaultColWidth="9" defaultRowHeight="14.5"/>
  <cols>
    <col min="2" max="2" width="24.4" customWidth="1"/>
    <col min="3" max="3" width="19.2636363636364" customWidth="1"/>
    <col min="4" max="4" width="15.4" customWidth="1"/>
    <col min="5" max="5" width="20.1363636363636" customWidth="1"/>
    <col min="6" max="6" width="12.4545454545455" customWidth="1"/>
    <col min="7" max="7" width="8.72727272727273" customWidth="1"/>
    <col min="8" max="8" width="8.4" customWidth="1"/>
    <col min="9" max="9" width="7.6" customWidth="1"/>
    <col min="10" max="10" width="8.4" customWidth="1"/>
    <col min="12" max="12" width="16.2727272727273" customWidth="1"/>
    <col min="13" max="13" width="43.9090909090909" customWidth="1"/>
    <col min="14" max="14" width="60.8181818181818" customWidth="1"/>
  </cols>
  <sheetData>
    <row r="1" spans="13:15">
      <c r="M1" t="s">
        <v>373</v>
      </c>
      <c r="N1" t="s">
        <v>374</v>
      </c>
      <c r="O1" t="s">
        <v>375</v>
      </c>
    </row>
    <row r="2" ht="34" customHeight="1" spans="13:15">
      <c r="M2" t="s">
        <v>376</v>
      </c>
      <c r="N2" s="33" t="s">
        <v>377</v>
      </c>
      <c r="O2" s="33" t="s">
        <v>378</v>
      </c>
    </row>
    <row r="3" ht="58" spans="13:15">
      <c r="M3" t="s">
        <v>379</v>
      </c>
      <c r="N3" s="33" t="s">
        <v>380</v>
      </c>
      <c r="O3" s="34" t="s">
        <v>381</v>
      </c>
    </row>
    <row r="11" spans="2:2">
      <c r="B11" t="s">
        <v>53</v>
      </c>
    </row>
    <row r="12" spans="2:11">
      <c r="B12" t="s">
        <v>54</v>
      </c>
      <c r="C12" t="s">
        <v>56</v>
      </c>
      <c r="D12" t="s">
        <v>58</v>
      </c>
      <c r="E12" t="s">
        <v>60</v>
      </c>
      <c r="F12" t="s">
        <v>382</v>
      </c>
      <c r="G12" t="s">
        <v>61</v>
      </c>
      <c r="H12" t="s">
        <v>62</v>
      </c>
      <c r="I12" t="s">
        <v>64</v>
      </c>
      <c r="J12" t="s">
        <v>65</v>
      </c>
      <c r="K12" t="s">
        <v>243</v>
      </c>
    </row>
    <row r="13" spans="3:11">
      <c r="C13" t="s">
        <v>383</v>
      </c>
      <c r="D13" t="s">
        <v>384</v>
      </c>
      <c r="E13">
        <v>0.02</v>
      </c>
      <c r="G13" t="s">
        <v>385</v>
      </c>
      <c r="H13" t="s">
        <v>386</v>
      </c>
      <c r="I13" t="s">
        <v>387</v>
      </c>
      <c r="K13">
        <v>2020</v>
      </c>
    </row>
    <row r="14" spans="3:11">
      <c r="C14" t="s">
        <v>383</v>
      </c>
      <c r="D14" t="str">
        <f>D13</f>
        <v>USD18</v>
      </c>
      <c r="E14">
        <v>3</v>
      </c>
      <c r="G14" t="str">
        <f>G13</f>
        <v>IRE</v>
      </c>
      <c r="H14" t="str">
        <f>H13</f>
        <v>Glb*</v>
      </c>
      <c r="I14" t="str">
        <f>I13</f>
        <v>m_*</v>
      </c>
      <c r="K14">
        <v>0</v>
      </c>
    </row>
  </sheetData>
  <hyperlinks>
    <hyperlink ref="O3" r:id="rId1" display="https://thundersaidenergy.com/downloads/bulk-shipping-cost-breakdown/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3:S17"/>
  <sheetViews>
    <sheetView zoomScale="60" zoomScaleNormal="60" workbookViewId="0">
      <selection activeCell="U33" sqref="U33"/>
    </sheetView>
  </sheetViews>
  <sheetFormatPr defaultColWidth="8.86363636363636" defaultRowHeight="14.5"/>
  <cols>
    <col min="1" max="1" width="14.1363636363636" customWidth="1"/>
    <col min="2" max="2" width="19.8636363636364" customWidth="1"/>
    <col min="3" max="3" width="8.13636363636364" customWidth="1"/>
    <col min="4" max="4" width="10.8636363636364" customWidth="1"/>
    <col min="5" max="5" width="7.26363636363636" customWidth="1"/>
    <col min="6" max="6" width="9.6" customWidth="1"/>
    <col min="7" max="7" width="11" customWidth="1"/>
    <col min="8" max="8" width="4.72727272727273" customWidth="1"/>
    <col min="9" max="9" width="11" customWidth="1"/>
    <col min="10" max="15" width="10.7272727272727" customWidth="1"/>
    <col min="16" max="18" width="4.13636363636364" customWidth="1"/>
    <col min="19" max="20" width="10.7272727272727" customWidth="1"/>
    <col min="21" max="21" width="8.72727272727273" customWidth="1"/>
    <col min="22" max="23" width="8.4" customWidth="1"/>
    <col min="24" max="24" width="7.4" customWidth="1"/>
    <col min="25" max="25" width="8.4" customWidth="1"/>
    <col min="26" max="26" width="8.72727272727273" customWidth="1"/>
    <col min="27" max="28" width="8.4" customWidth="1"/>
  </cols>
  <sheetData>
    <row r="3" spans="1:1">
      <c r="A3" t="s">
        <v>1</v>
      </c>
    </row>
    <row r="5" spans="6:6">
      <c r="F5" t="s">
        <v>388</v>
      </c>
    </row>
    <row r="6" spans="1:11">
      <c r="A6" t="s">
        <v>389</v>
      </c>
      <c r="B6" t="s">
        <v>4</v>
      </c>
      <c r="C6" t="s">
        <v>64</v>
      </c>
      <c r="D6" t="s">
        <v>390</v>
      </c>
      <c r="E6" t="s">
        <v>55</v>
      </c>
      <c r="F6">
        <v>2030</v>
      </c>
      <c r="G6">
        <v>2035</v>
      </c>
      <c r="H6" t="s">
        <v>391</v>
      </c>
      <c r="I6" t="s">
        <v>42</v>
      </c>
      <c r="J6" t="s">
        <v>77</v>
      </c>
      <c r="K6" t="s">
        <v>392</v>
      </c>
    </row>
    <row r="7" spans="1:11">
      <c r="A7" t="s">
        <v>393</v>
      </c>
      <c r="B7" t="s">
        <v>394</v>
      </c>
      <c r="C7" t="s">
        <v>395</v>
      </c>
      <c r="D7" t="s">
        <v>395</v>
      </c>
      <c r="E7" t="s">
        <v>151</v>
      </c>
      <c r="F7">
        <v>1.05</v>
      </c>
      <c r="H7">
        <v>1</v>
      </c>
      <c r="I7">
        <v>2</v>
      </c>
      <c r="J7" t="s">
        <v>396</v>
      </c>
      <c r="K7" t="s">
        <v>397</v>
      </c>
    </row>
    <row r="8" spans="1:19">
      <c r="A8" t="s">
        <v>393</v>
      </c>
      <c r="B8" t="s">
        <v>398</v>
      </c>
      <c r="C8" t="s">
        <v>395</v>
      </c>
      <c r="D8" t="s">
        <v>395</v>
      </c>
      <c r="E8" t="s">
        <v>50</v>
      </c>
      <c r="F8">
        <v>0.95</v>
      </c>
      <c r="G8">
        <v>0.9</v>
      </c>
      <c r="H8">
        <v>1</v>
      </c>
      <c r="I8">
        <v>2</v>
      </c>
      <c r="J8" t="s">
        <v>396</v>
      </c>
      <c r="K8" t="s">
        <v>399</v>
      </c>
      <c r="P8" s="7">
        <f>F8^15</f>
        <v>0.463291230159753</v>
      </c>
      <c r="Q8" s="7">
        <f>G8^15</f>
        <v>0.205891132094649</v>
      </c>
      <c r="S8" s="23">
        <f>PRODUCT(P8:R8)</f>
        <v>0.0953875558671143</v>
      </c>
    </row>
    <row r="11" spans="1:1">
      <c r="A11" t="s">
        <v>400</v>
      </c>
    </row>
    <row r="13" spans="4:4">
      <c r="D13" t="s">
        <v>401</v>
      </c>
    </row>
    <row r="14" spans="1:11">
      <c r="A14" t="s">
        <v>389</v>
      </c>
      <c r="B14" t="s">
        <v>4</v>
      </c>
      <c r="C14" t="s">
        <v>92</v>
      </c>
      <c r="D14" t="s">
        <v>265</v>
      </c>
      <c r="E14">
        <v>2030</v>
      </c>
      <c r="F14">
        <v>2040</v>
      </c>
      <c r="G14">
        <v>2050</v>
      </c>
      <c r="H14" t="s">
        <v>391</v>
      </c>
      <c r="I14" t="s">
        <v>402</v>
      </c>
      <c r="J14" t="s">
        <v>42</v>
      </c>
      <c r="K14" t="s">
        <v>392</v>
      </c>
    </row>
    <row r="15" spans="1:18">
      <c r="A15" t="s">
        <v>403</v>
      </c>
      <c r="B15" t="str">
        <f>"UC_ELCcap_decay - "&amp;MID(D15,4,3)</f>
        <v>UC_ELCcap_decay - OIL</v>
      </c>
      <c r="C15" t="s">
        <v>404</v>
      </c>
      <c r="D15" t="s">
        <v>405</v>
      </c>
      <c r="E15">
        <v>0.98</v>
      </c>
      <c r="F15">
        <v>0.95</v>
      </c>
      <c r="G15">
        <v>0.8</v>
      </c>
      <c r="H15">
        <v>1</v>
      </c>
      <c r="I15">
        <v>5</v>
      </c>
      <c r="J15">
        <v>3</v>
      </c>
      <c r="K15" t="str">
        <f>"Max decay in power capacity - "&amp;MID(D15,4,3)</f>
        <v>Max decay in power capacity - OIL</v>
      </c>
      <c r="O15" s="7">
        <f>E15^10</f>
        <v>0.817072806887547</v>
      </c>
      <c r="P15" s="7">
        <f>F15^10</f>
        <v>0.598736939238379</v>
      </c>
      <c r="Q15" s="7">
        <f>G15^10</f>
        <v>0.1073741824</v>
      </c>
      <c r="R15" s="23">
        <f>PRODUCT(O15:Q15)</f>
        <v>0.0525287032511528</v>
      </c>
    </row>
    <row r="16" spans="1:18">
      <c r="A16" t="s">
        <v>403</v>
      </c>
      <c r="B16" t="str">
        <f t="shared" ref="B16:B17" si="0">"UC_ELCcap_decay - "&amp;MID(D16,4,3)</f>
        <v>UC_ELCcap_decay - CO?</v>
      </c>
      <c r="C16" t="s">
        <v>404</v>
      </c>
      <c r="D16" t="s">
        <v>406</v>
      </c>
      <c r="E16">
        <v>0.98</v>
      </c>
      <c r="F16">
        <v>0.9</v>
      </c>
      <c r="G16">
        <v>0.8</v>
      </c>
      <c r="H16">
        <v>1</v>
      </c>
      <c r="I16">
        <v>5</v>
      </c>
      <c r="J16">
        <v>3</v>
      </c>
      <c r="K16" t="str">
        <f>"Max decay in power capacity - "&amp;MID(D16,4,3)</f>
        <v>Max decay in power capacity - CO?</v>
      </c>
      <c r="O16" s="7">
        <f t="shared" ref="O16:O17" si="1">E16^10</f>
        <v>0.817072806887547</v>
      </c>
      <c r="P16" s="7">
        <f t="shared" ref="P16:P17" si="2">F16^10</f>
        <v>0.3486784401</v>
      </c>
      <c r="Q16" s="7">
        <f t="shared" ref="Q16:Q17" si="3">G16^10</f>
        <v>0.1073741824</v>
      </c>
      <c r="R16" s="23">
        <f t="shared" ref="R16:R17" si="4">PRODUCT(O16:Q16)</f>
        <v>0.03059043982385</v>
      </c>
    </row>
    <row r="17" spans="1:18">
      <c r="A17" t="s">
        <v>403</v>
      </c>
      <c r="B17" t="str">
        <f t="shared" si="0"/>
        <v>UC_ELCcap_decay - NGA</v>
      </c>
      <c r="C17" t="s">
        <v>404</v>
      </c>
      <c r="D17" t="s">
        <v>282</v>
      </c>
      <c r="E17">
        <v>0.98</v>
      </c>
      <c r="F17">
        <v>0.95</v>
      </c>
      <c r="G17">
        <v>0.8</v>
      </c>
      <c r="H17">
        <v>1</v>
      </c>
      <c r="I17">
        <v>5</v>
      </c>
      <c r="J17">
        <v>3</v>
      </c>
      <c r="K17" t="str">
        <f>"Max decay in power capacity - "&amp;MID(D17,4,3)</f>
        <v>Max decay in power capacity - NGA</v>
      </c>
      <c r="O17" s="7">
        <f t="shared" si="1"/>
        <v>0.817072806887547</v>
      </c>
      <c r="P17" s="7">
        <f t="shared" si="2"/>
        <v>0.598736939238379</v>
      </c>
      <c r="Q17" s="7">
        <f t="shared" si="3"/>
        <v>0.1073741824</v>
      </c>
      <c r="R17" s="23">
        <f t="shared" si="4"/>
        <v>0.0525287032511528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B1:O30"/>
  <sheetViews>
    <sheetView zoomScale="49" zoomScaleNormal="49" workbookViewId="0">
      <selection activeCell="W37" sqref="W37"/>
    </sheetView>
  </sheetViews>
  <sheetFormatPr defaultColWidth="9" defaultRowHeight="14.5"/>
  <cols>
    <col min="2" max="2" width="16.1363636363636" customWidth="1"/>
    <col min="3" max="3" width="11.6" customWidth="1"/>
    <col min="4" max="5" width="5" customWidth="1"/>
    <col min="6" max="6" width="6.72727272727273" customWidth="1"/>
    <col min="7" max="7" width="7.86363636363636" customWidth="1"/>
    <col min="11" max="11" width="17.6" customWidth="1"/>
    <col min="12" max="12" width="29.2636363636364" customWidth="1"/>
    <col min="13" max="14" width="10.7272727272727" customWidth="1"/>
    <col min="15" max="15" width="10.1363636363636" customWidth="1"/>
  </cols>
  <sheetData>
    <row r="1" spans="8:8">
      <c r="H1" t="s">
        <v>1</v>
      </c>
    </row>
    <row r="2" spans="2:12">
      <c r="B2" t="s">
        <v>407</v>
      </c>
      <c r="L2" t="s">
        <v>408</v>
      </c>
    </row>
    <row r="3" spans="2:15">
      <c r="B3" t="s">
        <v>73</v>
      </c>
      <c r="C3" t="s">
        <v>409</v>
      </c>
      <c r="D3">
        <v>2025</v>
      </c>
      <c r="E3">
        <v>2035</v>
      </c>
      <c r="F3">
        <v>2050</v>
      </c>
      <c r="K3" t="s">
        <v>4</v>
      </c>
      <c r="L3" t="s">
        <v>253</v>
      </c>
      <c r="M3" t="s">
        <v>410</v>
      </c>
      <c r="N3" t="s">
        <v>411</v>
      </c>
      <c r="O3" t="s">
        <v>412</v>
      </c>
    </row>
    <row r="4" spans="2:15">
      <c r="B4" t="s">
        <v>413</v>
      </c>
      <c r="C4" t="s">
        <v>414</v>
      </c>
      <c r="D4">
        <v>-0.3</v>
      </c>
      <c r="K4" t="s">
        <v>415</v>
      </c>
      <c r="L4" t="s">
        <v>416</v>
      </c>
      <c r="M4">
        <v>1</v>
      </c>
      <c r="O4">
        <v>2</v>
      </c>
    </row>
    <row r="5" spans="2:15">
      <c r="B5" t="s">
        <v>417</v>
      </c>
      <c r="C5" t="s">
        <v>414</v>
      </c>
      <c r="D5">
        <v>0</v>
      </c>
      <c r="E5">
        <v>0.3</v>
      </c>
      <c r="F5">
        <v>0.5</v>
      </c>
      <c r="K5" t="s">
        <v>418</v>
      </c>
      <c r="L5" t="s">
        <v>419</v>
      </c>
      <c r="M5">
        <v>1</v>
      </c>
      <c r="O5">
        <v>2</v>
      </c>
    </row>
    <row r="6" spans="2:15">
      <c r="B6" t="s">
        <v>420</v>
      </c>
      <c r="C6" t="s">
        <v>414</v>
      </c>
      <c r="D6">
        <v>10</v>
      </c>
      <c r="K6" t="s">
        <v>421</v>
      </c>
      <c r="L6" t="s">
        <v>422</v>
      </c>
      <c r="N6" s="5">
        <v>1</v>
      </c>
      <c r="O6">
        <v>2</v>
      </c>
    </row>
    <row r="7" spans="11:11">
      <c r="K7" t="s">
        <v>277</v>
      </c>
    </row>
    <row r="8" spans="11:15">
      <c r="K8" t="s">
        <v>423</v>
      </c>
      <c r="L8" t="s">
        <v>424</v>
      </c>
      <c r="M8">
        <v>1</v>
      </c>
      <c r="O8">
        <v>2</v>
      </c>
    </row>
    <row r="9" spans="11:15">
      <c r="K9" t="s">
        <v>423</v>
      </c>
      <c r="L9" t="s">
        <v>425</v>
      </c>
      <c r="M9">
        <v>1</v>
      </c>
      <c r="O9">
        <v>2</v>
      </c>
    </row>
    <row r="10" spans="2:15">
      <c r="B10" t="s">
        <v>407</v>
      </c>
      <c r="K10" t="s">
        <v>426</v>
      </c>
      <c r="L10" t="s">
        <v>427</v>
      </c>
      <c r="M10">
        <v>1</v>
      </c>
      <c r="O10">
        <v>2</v>
      </c>
    </row>
    <row r="11" spans="2:15">
      <c r="B11" t="s">
        <v>73</v>
      </c>
      <c r="C11" t="s">
        <v>277</v>
      </c>
      <c r="D11">
        <v>2025</v>
      </c>
      <c r="E11">
        <v>2035</v>
      </c>
      <c r="F11">
        <v>2050</v>
      </c>
      <c r="G11" t="s">
        <v>266</v>
      </c>
      <c r="K11" t="s">
        <v>426</v>
      </c>
      <c r="L11" t="s">
        <v>428</v>
      </c>
      <c r="M11">
        <v>1</v>
      </c>
      <c r="O11">
        <v>2</v>
      </c>
    </row>
    <row r="12" spans="2:15">
      <c r="B12" t="s">
        <v>413</v>
      </c>
      <c r="D12">
        <v>-0.3</v>
      </c>
      <c r="G12" t="s">
        <v>429</v>
      </c>
      <c r="K12" t="s">
        <v>430</v>
      </c>
      <c r="L12" t="s">
        <v>431</v>
      </c>
      <c r="M12">
        <v>1</v>
      </c>
      <c r="O12">
        <v>2</v>
      </c>
    </row>
    <row r="13" spans="2:15">
      <c r="B13" t="s">
        <v>417</v>
      </c>
      <c r="D13">
        <v>0</v>
      </c>
      <c r="E13">
        <v>0.3</v>
      </c>
      <c r="F13">
        <v>0.5</v>
      </c>
      <c r="G13" t="s">
        <v>429</v>
      </c>
      <c r="K13" t="s">
        <v>432</v>
      </c>
      <c r="L13" t="s">
        <v>433</v>
      </c>
      <c r="M13">
        <v>1</v>
      </c>
      <c r="O13">
        <v>2</v>
      </c>
    </row>
    <row r="14" spans="2:11">
      <c r="B14" t="s">
        <v>420</v>
      </c>
      <c r="D14">
        <v>10</v>
      </c>
      <c r="G14" t="s">
        <v>429</v>
      </c>
      <c r="K14" t="s">
        <v>277</v>
      </c>
    </row>
    <row r="15" spans="11:15">
      <c r="K15" t="s">
        <v>434</v>
      </c>
      <c r="L15" t="s">
        <v>435</v>
      </c>
      <c r="M15">
        <v>1</v>
      </c>
      <c r="O15">
        <v>2</v>
      </c>
    </row>
    <row r="16" spans="11:15">
      <c r="K16" t="s">
        <v>434</v>
      </c>
      <c r="L16" t="s">
        <v>436</v>
      </c>
      <c r="M16">
        <v>1</v>
      </c>
      <c r="O16">
        <v>2</v>
      </c>
    </row>
    <row r="17" spans="11:15">
      <c r="K17" t="s">
        <v>437</v>
      </c>
      <c r="L17" t="s">
        <v>438</v>
      </c>
      <c r="M17">
        <v>1</v>
      </c>
      <c r="O17">
        <v>2</v>
      </c>
    </row>
    <row r="18" spans="11:15">
      <c r="K18" t="s">
        <v>437</v>
      </c>
      <c r="L18" t="s">
        <v>439</v>
      </c>
      <c r="M18">
        <v>1</v>
      </c>
      <c r="O18">
        <v>2</v>
      </c>
    </row>
    <row r="19" spans="11:15">
      <c r="K19" t="s">
        <v>440</v>
      </c>
      <c r="L19" t="s">
        <v>441</v>
      </c>
      <c r="M19">
        <v>1</v>
      </c>
      <c r="O19">
        <v>2</v>
      </c>
    </row>
    <row r="20" spans="11:15">
      <c r="K20" t="s">
        <v>442</v>
      </c>
      <c r="L20" t="s">
        <v>443</v>
      </c>
      <c r="M20">
        <v>1</v>
      </c>
      <c r="O20">
        <v>2</v>
      </c>
    </row>
    <row r="23" spans="2:12">
      <c r="B23" t="s">
        <v>444</v>
      </c>
      <c r="L23" t="s">
        <v>408</v>
      </c>
    </row>
    <row r="24" spans="2:15">
      <c r="B24" t="s">
        <v>74</v>
      </c>
      <c r="C24" t="s">
        <v>253</v>
      </c>
      <c r="D24" t="s">
        <v>75</v>
      </c>
      <c r="K24" t="s">
        <v>4</v>
      </c>
      <c r="L24" t="s">
        <v>74</v>
      </c>
      <c r="M24" t="s">
        <v>445</v>
      </c>
      <c r="N24" t="s">
        <v>446</v>
      </c>
      <c r="O24" t="s">
        <v>243</v>
      </c>
    </row>
    <row r="25" spans="2:14">
      <c r="B25" t="s">
        <v>447</v>
      </c>
      <c r="C25" t="s">
        <v>448</v>
      </c>
      <c r="D25" t="s">
        <v>449</v>
      </c>
      <c r="K25" t="s">
        <v>450</v>
      </c>
      <c r="N25">
        <v>1</v>
      </c>
    </row>
    <row r="26" spans="12:15">
      <c r="L26" t="s">
        <v>451</v>
      </c>
      <c r="M26">
        <v>1</v>
      </c>
      <c r="O26" t="s">
        <v>452</v>
      </c>
    </row>
    <row r="27" spans="12:15">
      <c r="L27" t="s">
        <v>451</v>
      </c>
      <c r="M27">
        <v>1</v>
      </c>
      <c r="O27" t="s">
        <v>453</v>
      </c>
    </row>
    <row r="28" spans="2:15">
      <c r="B28" t="s">
        <v>454</v>
      </c>
      <c r="L28" t="s">
        <v>451</v>
      </c>
      <c r="M28">
        <v>1</v>
      </c>
      <c r="O28" t="s">
        <v>455</v>
      </c>
    </row>
    <row r="29" spans="2:15">
      <c r="B29" t="s">
        <v>73</v>
      </c>
      <c r="C29" t="s">
        <v>253</v>
      </c>
      <c r="D29">
        <v>2020</v>
      </c>
      <c r="E29">
        <v>0</v>
      </c>
      <c r="F29" t="s">
        <v>43</v>
      </c>
      <c r="L29" t="s">
        <v>451</v>
      </c>
      <c r="M29">
        <v>1</v>
      </c>
      <c r="O29" t="s">
        <v>456</v>
      </c>
    </row>
    <row r="30" spans="2:6">
      <c r="B30" t="s">
        <v>457</v>
      </c>
      <c r="C30" t="str">
        <f>C25</f>
        <v>repuc_unity</v>
      </c>
      <c r="D30">
        <v>1</v>
      </c>
      <c r="E30">
        <v>3</v>
      </c>
      <c r="F30" t="s">
        <v>246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IA77"/>
  <sheetViews>
    <sheetView zoomScale="58" zoomScaleNormal="58" workbookViewId="0">
      <pane xSplit="5" ySplit="2" topLeftCell="F51" activePane="bottomRight" state="frozen"/>
      <selection/>
      <selection pane="topRight"/>
      <selection pane="bottomLeft"/>
      <selection pane="bottomRight" activeCell="AK77" sqref="AK77"/>
    </sheetView>
  </sheetViews>
  <sheetFormatPr defaultColWidth="9" defaultRowHeight="14.5"/>
  <cols>
    <col min="1" max="1" width="10.1363636363636" customWidth="1"/>
    <col min="2" max="2" width="20.6" customWidth="1"/>
    <col min="3" max="3" width="8.13636363636364" customWidth="1"/>
    <col min="4" max="4" width="10" customWidth="1"/>
    <col min="5" max="5" width="9.54545454545454" customWidth="1"/>
    <col min="6" max="94" width="6.13636363636364" customWidth="1"/>
    <col min="95" max="95" width="7.26363636363636" customWidth="1"/>
    <col min="96" max="99" width="6.13636363636364" customWidth="1"/>
    <col min="100" max="100" width="7.13636363636364" customWidth="1"/>
    <col min="101" max="114" width="6.13636363636364" customWidth="1"/>
    <col min="115" max="115" width="8" customWidth="1"/>
    <col min="116" max="116" width="10.2636363636364" customWidth="1"/>
    <col min="117" max="117" width="12" customWidth="1"/>
    <col min="118" max="118" width="5" customWidth="1"/>
    <col min="120" max="121" width="5" customWidth="1"/>
    <col min="188" max="188" width="7.72727272727273" customWidth="1"/>
    <col min="189" max="192" width="4.13636363636364" customWidth="1"/>
    <col min="193" max="193" width="3.86363636363636" customWidth="1"/>
    <col min="194" max="204" width="4.13636363636364" customWidth="1"/>
    <col min="205" max="205" width="4.4" customWidth="1"/>
    <col min="206" max="206" width="4.13636363636364" customWidth="1"/>
    <col min="207" max="207" width="3.13636363636364" customWidth="1"/>
    <col min="208" max="208" width="4.13636363636364" customWidth="1"/>
    <col min="209" max="209" width="5.86363636363636" customWidth="1"/>
    <col min="210" max="212" width="4.13636363636364" customWidth="1"/>
    <col min="213" max="213" width="5.6" customWidth="1"/>
    <col min="214" max="214" width="4.6" customWidth="1"/>
    <col min="215" max="215" width="4.13636363636364" customWidth="1"/>
    <col min="216" max="216" width="4.6" customWidth="1"/>
    <col min="217" max="217" width="4.13636363636364" customWidth="1"/>
    <col min="218" max="218" width="4.26363636363636" customWidth="1"/>
    <col min="219" max="219" width="8" customWidth="1"/>
    <col min="220" max="221" width="4.13636363636364" customWidth="1"/>
    <col min="222" max="222" width="4.72727272727273" customWidth="1"/>
    <col min="223" max="223" width="4.86363636363636" customWidth="1"/>
    <col min="224" max="224" width="5.72727272727273" customWidth="1"/>
    <col min="225" max="227" width="4.13636363636364" customWidth="1"/>
    <col min="228" max="228" width="4.26363636363636" customWidth="1"/>
    <col min="229" max="231" width="4.13636363636364" customWidth="1"/>
    <col min="233" max="233" width="8" customWidth="1"/>
    <col min="234" max="234" width="11.7272727272727" customWidth="1"/>
    <col min="235" max="235" width="5" customWidth="1"/>
  </cols>
  <sheetData>
    <row r="1" ht="17.75" spans="6:116">
      <c r="F1" s="20" t="s">
        <v>458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DL1" t="s">
        <v>400</v>
      </c>
    </row>
    <row r="2" ht="15.25"/>
    <row r="3" spans="6:115">
      <c r="F3" s="22" t="s">
        <v>152</v>
      </c>
      <c r="G3" s="22" t="s">
        <v>153</v>
      </c>
      <c r="H3" s="22" t="s">
        <v>154</v>
      </c>
      <c r="I3" s="22" t="s">
        <v>155</v>
      </c>
      <c r="J3" s="22" t="s">
        <v>156</v>
      </c>
      <c r="K3" s="22" t="s">
        <v>9</v>
      </c>
      <c r="L3" s="22" t="s">
        <v>10</v>
      </c>
      <c r="M3" s="22" t="s">
        <v>157</v>
      </c>
      <c r="N3" s="22" t="s">
        <v>158</v>
      </c>
      <c r="O3" s="22" t="s">
        <v>159</v>
      </c>
      <c r="P3" s="22" t="s">
        <v>160</v>
      </c>
      <c r="Q3" s="22" t="s">
        <v>161</v>
      </c>
      <c r="R3" s="22" t="s">
        <v>13</v>
      </c>
      <c r="S3" s="22" t="s">
        <v>162</v>
      </c>
      <c r="T3" s="22" t="s">
        <v>163</v>
      </c>
      <c r="U3" s="22" t="s">
        <v>164</v>
      </c>
      <c r="V3" s="22" t="s">
        <v>165</v>
      </c>
      <c r="W3" s="22" t="s">
        <v>14</v>
      </c>
      <c r="X3" s="22" t="s">
        <v>166</v>
      </c>
      <c r="Y3" s="22" t="s">
        <v>167</v>
      </c>
      <c r="Z3" s="22" t="s">
        <v>168</v>
      </c>
      <c r="AA3" s="22" t="s">
        <v>169</v>
      </c>
      <c r="AB3" s="22" t="s">
        <v>170</v>
      </c>
      <c r="AC3" s="22" t="s">
        <v>171</v>
      </c>
      <c r="AD3" s="22" t="s">
        <v>172</v>
      </c>
      <c r="AE3" s="22" t="s">
        <v>173</v>
      </c>
      <c r="AF3" s="22" t="s">
        <v>174</v>
      </c>
      <c r="AG3" s="22" t="s">
        <v>175</v>
      </c>
      <c r="AH3" s="22" t="s">
        <v>17</v>
      </c>
      <c r="AI3" s="22" t="s">
        <v>176</v>
      </c>
      <c r="AJ3" s="22" t="s">
        <v>18</v>
      </c>
      <c r="AK3" s="22" t="s">
        <v>177</v>
      </c>
      <c r="AL3" s="22" t="s">
        <v>178</v>
      </c>
      <c r="AM3" s="22" t="s">
        <v>179</v>
      </c>
      <c r="AN3" s="22" t="s">
        <v>21</v>
      </c>
      <c r="AO3" s="22" t="s">
        <v>22</v>
      </c>
      <c r="AP3" s="22" t="s">
        <v>180</v>
      </c>
      <c r="AQ3" s="22" t="s">
        <v>181</v>
      </c>
      <c r="AR3" s="22" t="s">
        <v>182</v>
      </c>
      <c r="AS3" s="22" t="s">
        <v>23</v>
      </c>
      <c r="AT3" s="22" t="s">
        <v>183</v>
      </c>
      <c r="AU3" s="22" t="s">
        <v>184</v>
      </c>
      <c r="AV3" s="22" t="s">
        <v>185</v>
      </c>
      <c r="AW3" s="22" t="s">
        <v>25</v>
      </c>
      <c r="AX3" s="22" t="s">
        <v>186</v>
      </c>
      <c r="AY3" s="22" t="s">
        <v>187</v>
      </c>
      <c r="AZ3" s="22" t="s">
        <v>188</v>
      </c>
      <c r="BA3" s="22" t="s">
        <v>189</v>
      </c>
      <c r="BB3" s="22" t="s">
        <v>190</v>
      </c>
      <c r="BC3" s="22" t="s">
        <v>191</v>
      </c>
      <c r="BD3" s="22" t="s">
        <v>192</v>
      </c>
      <c r="BE3" s="22" t="s">
        <v>193</v>
      </c>
      <c r="BF3" s="22" t="s">
        <v>194</v>
      </c>
      <c r="BG3" s="22" t="s">
        <v>195</v>
      </c>
      <c r="BH3" s="22" t="s">
        <v>196</v>
      </c>
      <c r="BI3" s="22" t="s">
        <v>197</v>
      </c>
      <c r="BJ3" s="22" t="s">
        <v>198</v>
      </c>
      <c r="BK3" s="22" t="s">
        <v>199</v>
      </c>
      <c r="BL3" s="22" t="s">
        <v>200</v>
      </c>
      <c r="BM3" s="22" t="s">
        <v>201</v>
      </c>
      <c r="BN3" s="22" t="s">
        <v>202</v>
      </c>
      <c r="BO3" s="22" t="s">
        <v>203</v>
      </c>
      <c r="BP3" s="22" t="s">
        <v>204</v>
      </c>
      <c r="BQ3" s="22" t="s">
        <v>205</v>
      </c>
      <c r="BR3" s="22" t="s">
        <v>206</v>
      </c>
      <c r="BS3" s="22" t="s">
        <v>207</v>
      </c>
      <c r="BT3" s="22" t="s">
        <v>208</v>
      </c>
      <c r="BU3" s="22" t="s">
        <v>29</v>
      </c>
      <c r="BV3" s="22" t="s">
        <v>209</v>
      </c>
      <c r="BW3" s="22" t="s">
        <v>210</v>
      </c>
      <c r="BX3" s="22" t="s">
        <v>211</v>
      </c>
      <c r="BY3" s="22" t="s">
        <v>212</v>
      </c>
      <c r="BZ3" s="22" t="s">
        <v>213</v>
      </c>
      <c r="CA3" s="22" t="s">
        <v>214</v>
      </c>
      <c r="CB3" s="22" t="s">
        <v>215</v>
      </c>
      <c r="CC3" s="22" t="s">
        <v>216</v>
      </c>
      <c r="CD3" s="22" t="s">
        <v>217</v>
      </c>
      <c r="CE3" s="22" t="s">
        <v>30</v>
      </c>
      <c r="CF3" s="22" t="s">
        <v>218</v>
      </c>
      <c r="CG3" s="22" t="s">
        <v>219</v>
      </c>
      <c r="CH3" s="22" t="s">
        <v>220</v>
      </c>
      <c r="CI3" s="22" t="s">
        <v>32</v>
      </c>
      <c r="CJ3" s="22" t="s">
        <v>33</v>
      </c>
      <c r="CK3" s="22" t="s">
        <v>221</v>
      </c>
      <c r="CL3" s="22" t="s">
        <v>222</v>
      </c>
      <c r="CM3" s="22" t="s">
        <v>223</v>
      </c>
      <c r="CN3" s="22" t="s">
        <v>224</v>
      </c>
      <c r="CO3" s="22" t="s">
        <v>34</v>
      </c>
      <c r="CP3" s="22" t="s">
        <v>225</v>
      </c>
      <c r="CQ3" s="22" t="s">
        <v>226</v>
      </c>
      <c r="CR3" s="22" t="s">
        <v>227</v>
      </c>
      <c r="CS3" s="22" t="s">
        <v>228</v>
      </c>
      <c r="CT3" s="22" t="s">
        <v>37</v>
      </c>
      <c r="CU3" s="22" t="s">
        <v>229</v>
      </c>
      <c r="CV3" s="22" t="s">
        <v>230</v>
      </c>
      <c r="CW3" s="22" t="s">
        <v>231</v>
      </c>
      <c r="CX3" s="22" t="s">
        <v>232</v>
      </c>
      <c r="CY3" s="22" t="s">
        <v>233</v>
      </c>
      <c r="CZ3" s="22" t="s">
        <v>38</v>
      </c>
      <c r="DA3" s="22" t="s">
        <v>234</v>
      </c>
      <c r="DB3" s="22" t="s">
        <v>235</v>
      </c>
      <c r="DC3" s="22" t="s">
        <v>39</v>
      </c>
      <c r="DD3" s="22" t="s">
        <v>40</v>
      </c>
      <c r="DE3" s="22" t="s">
        <v>236</v>
      </c>
      <c r="DF3" s="22" t="s">
        <v>237</v>
      </c>
      <c r="DG3" s="22" t="s">
        <v>238</v>
      </c>
      <c r="DH3" s="22" t="s">
        <v>239</v>
      </c>
      <c r="DI3" s="22" t="s">
        <v>240</v>
      </c>
      <c r="DJ3" s="22" t="s">
        <v>241</v>
      </c>
      <c r="DK3" s="22" t="s">
        <v>459</v>
      </c>
    </row>
    <row r="4" spans="1:115">
      <c r="A4" s="22" t="str">
        <f>"???"&amp;MID(B4,4,10)</f>
        <v>???COB</v>
      </c>
      <c r="B4" t="s">
        <v>460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0.85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0.658989959314695</v>
      </c>
      <c r="R4" s="23">
        <v>0</v>
      </c>
      <c r="S4" s="23">
        <v>0.484500100166484</v>
      </c>
      <c r="T4" s="23">
        <v>0</v>
      </c>
      <c r="U4" s="23">
        <v>0.85</v>
      </c>
      <c r="V4" s="23">
        <v>0</v>
      </c>
      <c r="W4" s="23">
        <v>0</v>
      </c>
      <c r="X4" s="23">
        <v>0</v>
      </c>
      <c r="Y4" s="23">
        <v>0</v>
      </c>
      <c r="Z4" s="23">
        <v>0</v>
      </c>
      <c r="AA4" s="23">
        <v>0.569956424552155</v>
      </c>
      <c r="AB4" s="23">
        <v>0</v>
      </c>
      <c r="AC4" s="23">
        <v>0</v>
      </c>
      <c r="AD4" s="23">
        <v>0</v>
      </c>
      <c r="AE4" s="23">
        <v>0</v>
      </c>
      <c r="AF4" s="23">
        <v>0</v>
      </c>
      <c r="AG4" s="23">
        <v>0</v>
      </c>
      <c r="AH4" s="23">
        <v>0</v>
      </c>
      <c r="AI4" s="23">
        <v>0</v>
      </c>
      <c r="AJ4" s="23">
        <v>0.652366805976757</v>
      </c>
      <c r="AK4" s="23">
        <v>0</v>
      </c>
      <c r="AL4" s="23">
        <v>0.49836791287862</v>
      </c>
      <c r="AM4" s="23">
        <v>0.40162270961732</v>
      </c>
      <c r="AN4" s="23">
        <v>0</v>
      </c>
      <c r="AO4" s="23">
        <v>0.480141480061005</v>
      </c>
      <c r="AP4" s="23">
        <v>0.671862808813278</v>
      </c>
      <c r="AQ4" s="23">
        <v>0</v>
      </c>
      <c r="AR4" s="23">
        <v>0</v>
      </c>
      <c r="AS4" s="23">
        <v>0</v>
      </c>
      <c r="AT4" s="23">
        <v>0</v>
      </c>
      <c r="AU4" s="23">
        <v>0</v>
      </c>
      <c r="AV4" s="23">
        <v>0</v>
      </c>
      <c r="AW4" s="23">
        <v>0</v>
      </c>
      <c r="AX4" s="23">
        <v>0</v>
      </c>
      <c r="AY4" s="23">
        <v>0</v>
      </c>
      <c r="AZ4" s="23">
        <v>0.533478331773448</v>
      </c>
      <c r="BA4" s="23">
        <v>0</v>
      </c>
      <c r="BB4" s="23">
        <v>0</v>
      </c>
      <c r="BC4" s="23">
        <v>0</v>
      </c>
      <c r="BD4" s="23">
        <v>0</v>
      </c>
      <c r="BE4" s="23">
        <v>0</v>
      </c>
      <c r="BF4" s="23">
        <v>0</v>
      </c>
      <c r="BG4" s="23">
        <v>0.572837746029879</v>
      </c>
      <c r="BH4" s="23">
        <v>0</v>
      </c>
      <c r="BI4" s="23">
        <v>0</v>
      </c>
      <c r="BJ4" s="23">
        <v>0</v>
      </c>
      <c r="BK4" s="23">
        <v>0</v>
      </c>
      <c r="BL4" s="23">
        <v>0.763267376966007</v>
      </c>
      <c r="BM4" s="23">
        <v>0</v>
      </c>
      <c r="BN4" s="23">
        <v>0</v>
      </c>
      <c r="BO4" s="23">
        <v>0</v>
      </c>
      <c r="BP4" s="23">
        <v>0</v>
      </c>
      <c r="BQ4" s="23">
        <v>0</v>
      </c>
      <c r="BR4" s="23">
        <v>0.357432876712329</v>
      </c>
      <c r="BS4" s="23">
        <v>0</v>
      </c>
      <c r="BT4" s="23">
        <v>0</v>
      </c>
      <c r="BU4" s="23">
        <v>0</v>
      </c>
      <c r="BV4" s="23">
        <v>0</v>
      </c>
      <c r="BW4" s="23">
        <v>0</v>
      </c>
      <c r="BX4" s="23">
        <v>0.447743243788652</v>
      </c>
      <c r="BY4" s="23">
        <v>0</v>
      </c>
      <c r="BZ4" s="23">
        <v>0</v>
      </c>
      <c r="CA4" s="23">
        <v>0</v>
      </c>
      <c r="CB4" s="23">
        <v>0</v>
      </c>
      <c r="CC4" s="23">
        <v>0</v>
      </c>
      <c r="CD4" s="23">
        <v>0.85</v>
      </c>
      <c r="CE4" s="23">
        <v>0.630401475604938</v>
      </c>
      <c r="CF4" s="23">
        <v>0</v>
      </c>
      <c r="CG4" s="23">
        <v>0</v>
      </c>
      <c r="CH4" s="23">
        <v>0.383461722757765</v>
      </c>
      <c r="CI4" s="23">
        <v>0.354086650771656</v>
      </c>
      <c r="CJ4" s="23">
        <v>0</v>
      </c>
      <c r="CK4" s="31">
        <v>0.683598946325089</v>
      </c>
      <c r="CL4" s="23">
        <v>0</v>
      </c>
      <c r="CM4" s="23">
        <v>0.302403721891962</v>
      </c>
      <c r="CN4" s="23">
        <v>0.84622203196347</v>
      </c>
      <c r="CO4" s="23">
        <v>0</v>
      </c>
      <c r="CP4" s="23">
        <v>0.386502438034637</v>
      </c>
      <c r="CQ4" s="23">
        <v>0</v>
      </c>
      <c r="CR4" s="23">
        <v>0</v>
      </c>
      <c r="CS4" s="23">
        <v>0</v>
      </c>
      <c r="CT4" s="23">
        <v>0</v>
      </c>
      <c r="CU4" s="23">
        <v>0.322918628496432</v>
      </c>
      <c r="CV4" s="23">
        <v>0</v>
      </c>
      <c r="CW4" s="23">
        <v>0</v>
      </c>
      <c r="CX4" s="23">
        <v>0.729314124761345</v>
      </c>
      <c r="CY4" s="23">
        <v>0</v>
      </c>
      <c r="CZ4" s="23">
        <v>0.594379419662691</v>
      </c>
      <c r="DA4" s="23">
        <v>0</v>
      </c>
      <c r="DB4" s="23">
        <v>0</v>
      </c>
      <c r="DC4" s="23">
        <v>0</v>
      </c>
      <c r="DD4" s="23">
        <v>0</v>
      </c>
      <c r="DE4" s="23">
        <v>0.621798376796139</v>
      </c>
      <c r="DF4" s="23">
        <v>0.101705867149134</v>
      </c>
      <c r="DG4" s="23">
        <v>0</v>
      </c>
      <c r="DH4" s="23">
        <v>0</v>
      </c>
      <c r="DI4" s="23">
        <v>0</v>
      </c>
      <c r="DJ4" s="23">
        <v>0</v>
      </c>
      <c r="DK4" s="23">
        <v>0.426573382682398</v>
      </c>
    </row>
    <row r="5" spans="1:115">
      <c r="A5" s="22" t="str">
        <f t="shared" ref="A5:A10" si="0">"???"&amp;MID(B5,4,10)</f>
        <v>???COA</v>
      </c>
      <c r="B5" t="s">
        <v>461</v>
      </c>
      <c r="F5" s="23">
        <v>0</v>
      </c>
      <c r="G5" s="23">
        <v>0</v>
      </c>
      <c r="H5" s="23">
        <v>0</v>
      </c>
      <c r="I5" s="23">
        <v>0.125661243164221</v>
      </c>
      <c r="J5" s="23">
        <v>0</v>
      </c>
      <c r="K5" s="23">
        <v>0.61235872611396</v>
      </c>
      <c r="L5" s="23">
        <v>0</v>
      </c>
      <c r="M5" s="23">
        <v>0</v>
      </c>
      <c r="N5" s="23">
        <v>0.478644525686767</v>
      </c>
      <c r="O5" s="23">
        <v>0.342465753424658</v>
      </c>
      <c r="P5" s="23">
        <v>0</v>
      </c>
      <c r="Q5" s="23">
        <v>0</v>
      </c>
      <c r="R5" s="23">
        <v>0.271931326604182</v>
      </c>
      <c r="S5" s="23">
        <v>0.119038074133763</v>
      </c>
      <c r="T5" s="23">
        <v>0</v>
      </c>
      <c r="U5" s="23">
        <v>0.374000353187517</v>
      </c>
      <c r="V5" s="23">
        <v>0.85</v>
      </c>
      <c r="W5" s="23">
        <v>0.649383336192316</v>
      </c>
      <c r="X5" s="23">
        <v>0.648096604778726</v>
      </c>
      <c r="Y5" s="23">
        <v>0.640332231144702</v>
      </c>
      <c r="Z5" s="23">
        <v>0</v>
      </c>
      <c r="AA5" s="23">
        <v>0.189937772784236</v>
      </c>
      <c r="AB5" s="23">
        <v>0.148572565764912</v>
      </c>
      <c r="AC5" s="23">
        <v>0</v>
      </c>
      <c r="AD5" s="23">
        <v>0</v>
      </c>
      <c r="AE5" s="23">
        <v>0</v>
      </c>
      <c r="AF5" s="23">
        <v>0</v>
      </c>
      <c r="AG5" s="23">
        <v>0.144349841520856</v>
      </c>
      <c r="AH5" s="23">
        <v>0.204592381288777</v>
      </c>
      <c r="AI5" s="23">
        <v>0</v>
      </c>
      <c r="AJ5" s="23">
        <v>0.317161261859953</v>
      </c>
      <c r="AK5" s="23">
        <v>0</v>
      </c>
      <c r="AL5" s="23">
        <v>0</v>
      </c>
      <c r="AM5" s="23">
        <v>0</v>
      </c>
      <c r="AN5" s="23">
        <v>0</v>
      </c>
      <c r="AO5" s="23">
        <v>0.602194379011423</v>
      </c>
      <c r="AP5" s="23">
        <v>0</v>
      </c>
      <c r="AQ5" s="23">
        <v>0</v>
      </c>
      <c r="AR5" s="23">
        <v>0</v>
      </c>
      <c r="AS5" s="23">
        <v>0.0553403424438636</v>
      </c>
      <c r="AT5" s="23">
        <v>0.510017705712422</v>
      </c>
      <c r="AU5" s="23">
        <v>0.277920051176505</v>
      </c>
      <c r="AV5" s="23">
        <v>0</v>
      </c>
      <c r="AW5" s="23">
        <v>0.72668427904306</v>
      </c>
      <c r="AX5" s="23">
        <v>0.832182949132185</v>
      </c>
      <c r="AY5" s="23">
        <v>0</v>
      </c>
      <c r="AZ5" s="23">
        <v>0</v>
      </c>
      <c r="BA5" s="23">
        <v>0</v>
      </c>
      <c r="BB5" s="23">
        <v>0.00565564820329561</v>
      </c>
      <c r="BC5" s="23">
        <v>0</v>
      </c>
      <c r="BD5" s="23">
        <v>0</v>
      </c>
      <c r="BE5" s="23">
        <v>0</v>
      </c>
      <c r="BF5" s="23">
        <v>0</v>
      </c>
      <c r="BG5" s="23">
        <v>0</v>
      </c>
      <c r="BH5" s="23">
        <v>0.85</v>
      </c>
      <c r="BI5" s="23">
        <v>0</v>
      </c>
      <c r="BJ5" s="23">
        <v>0.334739366028688</v>
      </c>
      <c r="BK5" s="23">
        <v>0</v>
      </c>
      <c r="BL5" s="23">
        <v>0</v>
      </c>
      <c r="BM5" s="23">
        <v>0.710163487004676</v>
      </c>
      <c r="BN5" s="23">
        <v>0</v>
      </c>
      <c r="BO5" s="23">
        <v>0.85</v>
      </c>
      <c r="BP5" s="23">
        <v>0</v>
      </c>
      <c r="BQ5" s="23">
        <v>0.437623159706679</v>
      </c>
      <c r="BR5" s="23">
        <v>0</v>
      </c>
      <c r="BS5" s="23">
        <v>0</v>
      </c>
      <c r="BT5" s="23">
        <v>0</v>
      </c>
      <c r="BU5" s="23">
        <v>0.268078586878154</v>
      </c>
      <c r="BV5" s="23">
        <v>0</v>
      </c>
      <c r="BW5" s="23">
        <v>0.406946336323216</v>
      </c>
      <c r="BX5" s="23">
        <v>0.66405318558623</v>
      </c>
      <c r="BY5" s="23">
        <v>0</v>
      </c>
      <c r="BZ5" s="23">
        <v>0.713629892430293</v>
      </c>
      <c r="CA5" s="23">
        <v>0</v>
      </c>
      <c r="CB5" s="23">
        <v>0.85</v>
      </c>
      <c r="CC5" s="23">
        <v>0.0252054794520548</v>
      </c>
      <c r="CD5" s="23">
        <v>0</v>
      </c>
      <c r="CE5" s="23">
        <v>0.397903100547858</v>
      </c>
      <c r="CF5" s="23">
        <v>0</v>
      </c>
      <c r="CG5" s="23">
        <v>0</v>
      </c>
      <c r="CH5" s="23">
        <v>0</v>
      </c>
      <c r="CI5" s="31">
        <v>0.482522176501505</v>
      </c>
      <c r="CJ5" s="31">
        <v>0</v>
      </c>
      <c r="CK5" s="23">
        <v>0</v>
      </c>
      <c r="CL5" s="23">
        <v>0.515052638254693</v>
      </c>
      <c r="CM5" s="23">
        <v>0.553794482810672</v>
      </c>
      <c r="CN5" s="23">
        <v>0.000117837678597732</v>
      </c>
      <c r="CO5" s="31">
        <v>0.587009363349673</v>
      </c>
      <c r="CP5" s="23">
        <v>0.806088926855747</v>
      </c>
      <c r="CQ5" s="23">
        <v>0.85</v>
      </c>
      <c r="CR5" s="23">
        <v>0</v>
      </c>
      <c r="CS5" s="23">
        <v>0.149388353345735</v>
      </c>
      <c r="CT5" s="23">
        <v>0</v>
      </c>
      <c r="CU5" s="23">
        <v>0.85</v>
      </c>
      <c r="CV5" s="23">
        <v>0.421158390410959</v>
      </c>
      <c r="CW5" s="23">
        <v>0</v>
      </c>
      <c r="CX5" s="23">
        <v>0.543680109556042</v>
      </c>
      <c r="CY5" s="23">
        <v>0</v>
      </c>
      <c r="CZ5" s="23">
        <v>0.85</v>
      </c>
      <c r="DA5" s="23">
        <v>0</v>
      </c>
      <c r="DB5" s="23">
        <v>0</v>
      </c>
      <c r="DC5" s="23">
        <v>0.1534287696263</v>
      </c>
      <c r="DD5" s="23">
        <v>0.307401516255531</v>
      </c>
      <c r="DE5" s="23">
        <v>0.4961897932014</v>
      </c>
      <c r="DF5" s="23">
        <v>0</v>
      </c>
      <c r="DG5" s="23">
        <v>0</v>
      </c>
      <c r="DH5" s="23">
        <v>0.85</v>
      </c>
      <c r="DI5" s="23">
        <v>0</v>
      </c>
      <c r="DJ5" s="23">
        <v>0.577038190120382</v>
      </c>
      <c r="DK5" s="23">
        <v>0.616912126812187</v>
      </c>
    </row>
    <row r="6" spans="1:115">
      <c r="A6" s="22" t="str">
        <f t="shared" si="0"/>
        <v>???NGA</v>
      </c>
      <c r="B6" t="s">
        <v>282</v>
      </c>
      <c r="F6" s="23">
        <v>0</v>
      </c>
      <c r="G6" s="23">
        <v>0.37113840015263</v>
      </c>
      <c r="H6" s="23">
        <v>0.236443883984868</v>
      </c>
      <c r="I6" s="23">
        <v>0.431356083695337</v>
      </c>
      <c r="J6" s="23">
        <v>0.479755156668241</v>
      </c>
      <c r="K6" s="23">
        <v>0.269041917415849</v>
      </c>
      <c r="L6" s="23">
        <v>0.317466124560668</v>
      </c>
      <c r="M6" s="23">
        <v>0.704288266825491</v>
      </c>
      <c r="N6" s="23">
        <v>0.532596498892252</v>
      </c>
      <c r="O6" s="23">
        <v>0.46361224308838</v>
      </c>
      <c r="P6" s="23">
        <v>0.430763588524965</v>
      </c>
      <c r="Q6" s="23">
        <v>0</v>
      </c>
      <c r="R6" s="23">
        <v>0.79359488363634</v>
      </c>
      <c r="S6" s="23">
        <v>0.226063083819589</v>
      </c>
      <c r="T6" s="23">
        <v>0</v>
      </c>
      <c r="U6" s="23">
        <v>0.330776624125279</v>
      </c>
      <c r="V6" s="23">
        <v>0.386534251711686</v>
      </c>
      <c r="W6" s="23">
        <v>0.320610510846448</v>
      </c>
      <c r="X6" s="23">
        <v>0.206385738763325</v>
      </c>
      <c r="Y6" s="23">
        <v>0.43779994049698</v>
      </c>
      <c r="Z6" s="23">
        <v>0.00993360786620724</v>
      </c>
      <c r="AA6" s="23">
        <v>0.392071199238881</v>
      </c>
      <c r="AB6" s="23">
        <v>0.113092336646234</v>
      </c>
      <c r="AC6" s="23">
        <v>0</v>
      </c>
      <c r="AD6" s="23">
        <v>0.363457471246902</v>
      </c>
      <c r="AE6" s="23">
        <v>0.267637365975154</v>
      </c>
      <c r="AF6" s="23">
        <v>0</v>
      </c>
      <c r="AG6" s="23">
        <v>0.215784359665618</v>
      </c>
      <c r="AH6" s="23">
        <v>0.482501783082533</v>
      </c>
      <c r="AI6" s="23">
        <v>0.506636344178082</v>
      </c>
      <c r="AJ6" s="23">
        <v>0.588441333124509</v>
      </c>
      <c r="AK6" s="23">
        <v>0.376672146537832</v>
      </c>
      <c r="AL6" s="23">
        <v>0.269638017575449</v>
      </c>
      <c r="AM6" s="23">
        <v>0.318519715820399</v>
      </c>
      <c r="AN6" s="23">
        <v>0</v>
      </c>
      <c r="AO6" s="23">
        <v>0.240287000203675</v>
      </c>
      <c r="AP6" s="23">
        <v>0.317037488992693</v>
      </c>
      <c r="AQ6" s="23">
        <v>0.52973529409053</v>
      </c>
      <c r="AR6" s="23">
        <v>0.288695199037665</v>
      </c>
      <c r="AS6" s="23">
        <v>0.372731356765145</v>
      </c>
      <c r="AT6" s="23">
        <v>0.49852893385236</v>
      </c>
      <c r="AU6" s="23">
        <v>0.33347661505861</v>
      </c>
      <c r="AV6" s="23">
        <v>0.725839178816703</v>
      </c>
      <c r="AW6" s="23">
        <v>0.570374796384549</v>
      </c>
      <c r="AX6" s="23">
        <v>0.711165327445686</v>
      </c>
      <c r="AY6" s="23">
        <v>0</v>
      </c>
      <c r="AZ6" s="23">
        <v>0</v>
      </c>
      <c r="BA6" s="23">
        <v>0.503138093993359</v>
      </c>
      <c r="BB6" s="23">
        <v>0.203283105022831</v>
      </c>
      <c r="BC6" s="23">
        <v>0.359426980473058</v>
      </c>
      <c r="BD6" s="23">
        <v>0.377716248324878</v>
      </c>
      <c r="BE6" s="23">
        <v>0.0251340371526466</v>
      </c>
      <c r="BF6" s="23">
        <v>0.443945835301527</v>
      </c>
      <c r="BG6" s="23">
        <v>0.366884467637892</v>
      </c>
      <c r="BH6" s="23">
        <v>0.503199261246592</v>
      </c>
      <c r="BI6" s="23">
        <v>0.501579513523007</v>
      </c>
      <c r="BJ6" s="23">
        <v>0.499020881455646</v>
      </c>
      <c r="BK6" s="23">
        <v>0.670630460974597</v>
      </c>
      <c r="BL6" s="23">
        <v>0</v>
      </c>
      <c r="BM6" s="23">
        <v>0.396934116112198</v>
      </c>
      <c r="BN6" s="23">
        <v>0.552724022130415</v>
      </c>
      <c r="BO6" s="23">
        <v>0.254859392915334</v>
      </c>
      <c r="BP6" s="23">
        <v>0</v>
      </c>
      <c r="BQ6" s="23">
        <v>0.454316884417608</v>
      </c>
      <c r="BR6" s="23">
        <v>0.501931523887412</v>
      </c>
      <c r="BS6" s="23">
        <v>0</v>
      </c>
      <c r="BT6" s="23">
        <v>0.224441920615755</v>
      </c>
      <c r="BU6" s="23">
        <v>0.0474771689497717</v>
      </c>
      <c r="BV6" s="23">
        <v>0.2626524913856</v>
      </c>
      <c r="BW6" s="23">
        <v>0.337345958434131</v>
      </c>
      <c r="BX6" s="23">
        <v>0.390840596165505</v>
      </c>
      <c r="BY6" s="23">
        <v>0</v>
      </c>
      <c r="BZ6" s="23">
        <v>0.433183321922447</v>
      </c>
      <c r="CA6" s="23">
        <v>0.332609659400561</v>
      </c>
      <c r="CB6" s="23">
        <v>0.341375310776155</v>
      </c>
      <c r="CC6" s="23">
        <v>0.528995639336209</v>
      </c>
      <c r="CD6" s="23">
        <v>0.712812747123798</v>
      </c>
      <c r="CE6" s="23">
        <v>0.74884794629181</v>
      </c>
      <c r="CF6" s="23">
        <v>0.332760416152021</v>
      </c>
      <c r="CG6" s="23">
        <v>0.0179548201199002</v>
      </c>
      <c r="CH6" s="23">
        <v>0.222784818143243</v>
      </c>
      <c r="CI6" s="23">
        <v>0.458149004604495</v>
      </c>
      <c r="CJ6" s="23">
        <v>0.293265786919384</v>
      </c>
      <c r="CK6" s="23">
        <v>0.124031774957061</v>
      </c>
      <c r="CL6" s="23">
        <v>0.497157974868923</v>
      </c>
      <c r="CM6" s="23">
        <v>0.302078697064108</v>
      </c>
      <c r="CN6" s="23">
        <v>0.139582374665204</v>
      </c>
      <c r="CO6" s="23">
        <v>0</v>
      </c>
      <c r="CP6" s="23">
        <v>0.397601490340264</v>
      </c>
      <c r="CQ6" s="23">
        <v>0.234034269487258</v>
      </c>
      <c r="CR6" s="23">
        <v>0</v>
      </c>
      <c r="CS6" s="23">
        <v>0.0556036708587972</v>
      </c>
      <c r="CT6" s="23">
        <v>0.174701650020921</v>
      </c>
      <c r="CU6" s="23">
        <v>0.617830223203933</v>
      </c>
      <c r="CV6" s="23">
        <v>0.101630789302022</v>
      </c>
      <c r="CW6" s="23">
        <v>0.550249828928511</v>
      </c>
      <c r="CX6" s="23">
        <v>0.262246453376274</v>
      </c>
      <c r="CY6" s="23">
        <v>0.61091206805047</v>
      </c>
      <c r="CZ6" s="23">
        <v>0.239833340535557</v>
      </c>
      <c r="DA6" s="23">
        <v>0.335509311709059</v>
      </c>
      <c r="DB6" s="23">
        <v>0.39088830650224</v>
      </c>
      <c r="DC6" s="23">
        <v>0.396508536864362</v>
      </c>
      <c r="DD6" s="23">
        <v>0.574235505742355</v>
      </c>
      <c r="DE6" s="23">
        <v>0.382677500140927</v>
      </c>
      <c r="DF6" s="23">
        <v>0.562713218968623</v>
      </c>
      <c r="DG6" s="23">
        <v>0.231636653842237</v>
      </c>
      <c r="DH6" s="23">
        <v>0.587110147579863</v>
      </c>
      <c r="DI6" s="23">
        <v>0.0769174667291106</v>
      </c>
      <c r="DJ6" s="23">
        <v>0</v>
      </c>
      <c r="DK6" s="23">
        <v>0.394610254174867</v>
      </c>
    </row>
    <row r="7" spans="1:115">
      <c r="A7" s="22" t="str">
        <f t="shared" si="0"/>
        <v>???OIL</v>
      </c>
      <c r="B7" t="s">
        <v>462</v>
      </c>
      <c r="F7" s="23">
        <v>0</v>
      </c>
      <c r="G7" s="23">
        <v>0</v>
      </c>
      <c r="H7" s="23">
        <v>0.291215511371799</v>
      </c>
      <c r="I7" s="23">
        <v>0.0546242128194979</v>
      </c>
      <c r="J7" s="23">
        <v>0</v>
      </c>
      <c r="K7" s="23">
        <v>0.0532724505327245</v>
      </c>
      <c r="L7" s="23">
        <v>0.000212363772140673</v>
      </c>
      <c r="M7" s="23">
        <v>0</v>
      </c>
      <c r="N7" s="23">
        <v>0.252723158805791</v>
      </c>
      <c r="O7" s="23">
        <v>0.0143301272709608</v>
      </c>
      <c r="P7" s="23">
        <v>0.0232969900288883</v>
      </c>
      <c r="Q7" s="23">
        <v>0.208165457964008</v>
      </c>
      <c r="R7" s="23">
        <v>0.0455159183914184</v>
      </c>
      <c r="S7" s="23">
        <v>0.374514840182648</v>
      </c>
      <c r="T7" s="23">
        <v>0.146333529729464</v>
      </c>
      <c r="U7" s="23">
        <v>0.106318506211926</v>
      </c>
      <c r="V7" s="23">
        <v>0.228959760273973</v>
      </c>
      <c r="W7" s="23">
        <v>0.0244813856716379</v>
      </c>
      <c r="X7" s="23">
        <v>0.0160038442796037</v>
      </c>
      <c r="Y7" s="23">
        <v>0</v>
      </c>
      <c r="Z7" s="23">
        <v>0.297433233645837</v>
      </c>
      <c r="AA7" s="23">
        <v>0.0640092386110226</v>
      </c>
      <c r="AB7" s="23">
        <v>0.0176940639269406</v>
      </c>
      <c r="AC7" s="23">
        <v>0</v>
      </c>
      <c r="AD7" s="23">
        <v>0.412254639574603</v>
      </c>
      <c r="AE7" s="23">
        <v>0.00200649531196702</v>
      </c>
      <c r="AF7" s="23">
        <v>0</v>
      </c>
      <c r="AG7" s="23">
        <v>0.0426179604261796</v>
      </c>
      <c r="AH7" s="23">
        <v>0.85</v>
      </c>
      <c r="AI7" s="23">
        <v>0</v>
      </c>
      <c r="AJ7" s="23">
        <v>0.154051934873853</v>
      </c>
      <c r="AK7" s="23">
        <v>0.85</v>
      </c>
      <c r="AL7" s="23">
        <v>0.42229538997963</v>
      </c>
      <c r="AM7" s="23">
        <v>0.0208095509893455</v>
      </c>
      <c r="AN7" s="23">
        <v>0</v>
      </c>
      <c r="AO7" s="23">
        <v>0.0694822377788631</v>
      </c>
      <c r="AP7" s="23">
        <v>0.059705345288417</v>
      </c>
      <c r="AQ7" s="23">
        <v>0.458694535943466</v>
      </c>
      <c r="AR7" s="23">
        <v>0.143234808826747</v>
      </c>
      <c r="AS7" s="23">
        <v>0.0498355352211814</v>
      </c>
      <c r="AT7" s="23">
        <v>0.135899108501848</v>
      </c>
      <c r="AU7" s="23">
        <v>0.370793688884655</v>
      </c>
      <c r="AV7" s="23">
        <v>0.00857305936073059</v>
      </c>
      <c r="AW7" s="23">
        <v>0.1284925193718</v>
      </c>
      <c r="AX7" s="23">
        <v>0.00986356550649064</v>
      </c>
      <c r="AY7" s="23">
        <v>0.0957173254853804</v>
      </c>
      <c r="AZ7" s="23">
        <v>0.228053652968037</v>
      </c>
      <c r="BA7" s="23">
        <v>0.85</v>
      </c>
      <c r="BB7" s="23">
        <v>0.85</v>
      </c>
      <c r="BC7" s="23">
        <v>0</v>
      </c>
      <c r="BD7" s="23">
        <v>0.85</v>
      </c>
      <c r="BE7" s="23">
        <v>1.40932408816731e-5</v>
      </c>
      <c r="BF7" s="23">
        <v>0</v>
      </c>
      <c r="BG7" s="23">
        <v>0.0331919982604914</v>
      </c>
      <c r="BH7" s="23">
        <v>0.00674105796309403</v>
      </c>
      <c r="BI7" s="23">
        <v>0</v>
      </c>
      <c r="BJ7" s="23">
        <v>0.353355500444801</v>
      </c>
      <c r="BK7" s="23">
        <v>0</v>
      </c>
      <c r="BL7" s="23">
        <v>0</v>
      </c>
      <c r="BM7" s="23">
        <v>0.0467572871708263</v>
      </c>
      <c r="BN7" s="23">
        <v>0.125384141480032</v>
      </c>
      <c r="BO7" s="23">
        <v>0</v>
      </c>
      <c r="BP7" s="23">
        <v>0.00171232876712329</v>
      </c>
      <c r="BQ7" s="23">
        <v>0</v>
      </c>
      <c r="BR7" s="23">
        <v>0</v>
      </c>
      <c r="BS7" s="23">
        <v>0.256673876472002</v>
      </c>
      <c r="BT7" s="23">
        <v>0</v>
      </c>
      <c r="BU7" s="23">
        <v>0</v>
      </c>
      <c r="BV7" s="23">
        <v>0</v>
      </c>
      <c r="BW7" s="23">
        <v>0.260688934803305</v>
      </c>
      <c r="BX7" s="23">
        <v>0.357449076244326</v>
      </c>
      <c r="BY7" s="23">
        <v>0</v>
      </c>
      <c r="BZ7" s="23">
        <v>0.354758235084039</v>
      </c>
      <c r="CA7" s="23">
        <v>0.58327219881812</v>
      </c>
      <c r="CB7" s="23">
        <v>0.167087121276625</v>
      </c>
      <c r="CC7" s="23">
        <v>0.0986368332440499</v>
      </c>
      <c r="CD7" s="23">
        <v>0.156960416698039</v>
      </c>
      <c r="CE7" s="23">
        <v>0</v>
      </c>
      <c r="CF7" s="23">
        <v>0.254480656329971</v>
      </c>
      <c r="CG7" s="23">
        <v>0</v>
      </c>
      <c r="CH7" s="23">
        <v>0.00115356294590141</v>
      </c>
      <c r="CI7" s="23">
        <v>0.10659823146281</v>
      </c>
      <c r="CJ7" s="23">
        <v>0.700448344966878</v>
      </c>
      <c r="CK7" s="23">
        <v>0</v>
      </c>
      <c r="CL7" s="23">
        <v>0.00118531116228356</v>
      </c>
      <c r="CM7" s="23">
        <v>0.00550145788633988</v>
      </c>
      <c r="CN7" s="23">
        <v>0.0105012728815614</v>
      </c>
      <c r="CO7" s="23">
        <v>0.0243713850837139</v>
      </c>
      <c r="CP7" s="23">
        <v>0.177447706545267</v>
      </c>
      <c r="CQ7" s="23">
        <v>0.531818511270566</v>
      </c>
      <c r="CR7" s="23">
        <v>0.392011228491087</v>
      </c>
      <c r="CS7" s="23">
        <v>0.00767207945099658</v>
      </c>
      <c r="CT7" s="23">
        <v>0</v>
      </c>
      <c r="CU7" s="23">
        <v>0.347638955054104</v>
      </c>
      <c r="CV7" s="23">
        <v>0</v>
      </c>
      <c r="CW7" s="23">
        <v>0</v>
      </c>
      <c r="CX7" s="23">
        <v>0.85</v>
      </c>
      <c r="CY7" s="23">
        <v>0</v>
      </c>
      <c r="CZ7" s="23">
        <v>0.00178473353130887</v>
      </c>
      <c r="DA7" s="23">
        <v>0</v>
      </c>
      <c r="DB7" s="23">
        <v>0.0286863714196762</v>
      </c>
      <c r="DC7" s="23">
        <v>0.159939660795825</v>
      </c>
      <c r="DD7" s="23">
        <v>0.0152232060297428</v>
      </c>
      <c r="DE7" s="23">
        <v>0.0448977802128753</v>
      </c>
      <c r="DF7" s="23">
        <v>0.211720630967206</v>
      </c>
      <c r="DG7" s="23">
        <v>0.0791136516486946</v>
      </c>
      <c r="DH7" s="23">
        <v>0.0720832770992195</v>
      </c>
      <c r="DI7" s="23">
        <v>0.324503774112385</v>
      </c>
      <c r="DJ7" s="23">
        <v>0.636101864891392</v>
      </c>
      <c r="DK7" s="23">
        <v>0.214797249286697</v>
      </c>
    </row>
    <row r="8" spans="1:115">
      <c r="A8" s="22" t="str">
        <f t="shared" si="0"/>
        <v>???OIL_CRD</v>
      </c>
      <c r="B8" t="s">
        <v>463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0</v>
      </c>
      <c r="AB8" s="23">
        <v>0</v>
      </c>
      <c r="AC8" s="23">
        <v>0</v>
      </c>
      <c r="AD8" s="23">
        <v>0</v>
      </c>
      <c r="AE8" s="23">
        <v>0</v>
      </c>
      <c r="AF8" s="23">
        <v>0</v>
      </c>
      <c r="AG8" s="23">
        <v>0</v>
      </c>
      <c r="AH8" s="23">
        <v>0</v>
      </c>
      <c r="AI8" s="23">
        <v>0</v>
      </c>
      <c r="AJ8" s="23">
        <v>0</v>
      </c>
      <c r="AK8" s="23">
        <v>0.286164106261439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0</v>
      </c>
      <c r="AR8" s="23">
        <v>0.784728775438394</v>
      </c>
      <c r="AS8" s="23">
        <v>0</v>
      </c>
      <c r="AT8" s="23">
        <v>0</v>
      </c>
      <c r="AU8" s="23">
        <v>0</v>
      </c>
      <c r="AV8" s="23">
        <v>0</v>
      </c>
      <c r="AW8" s="23">
        <v>0.00693806455891503</v>
      </c>
      <c r="AX8" s="23">
        <v>0</v>
      </c>
      <c r="AY8" s="23">
        <v>0</v>
      </c>
      <c r="AZ8" s="23">
        <v>0</v>
      </c>
      <c r="BA8" s="23">
        <v>0</v>
      </c>
      <c r="BB8" s="23">
        <v>0</v>
      </c>
      <c r="BC8" s="23">
        <v>0</v>
      </c>
      <c r="BD8" s="23">
        <v>0</v>
      </c>
      <c r="BE8" s="23">
        <v>0</v>
      </c>
      <c r="BF8" s="23">
        <v>0</v>
      </c>
      <c r="BG8" s="23">
        <v>0</v>
      </c>
      <c r="BH8" s="23">
        <v>0</v>
      </c>
      <c r="BI8" s="23">
        <v>0</v>
      </c>
      <c r="BJ8" s="23">
        <v>0</v>
      </c>
      <c r="BK8" s="23">
        <v>0</v>
      </c>
      <c r="BL8" s="23">
        <v>0</v>
      </c>
      <c r="BM8" s="23">
        <v>0</v>
      </c>
      <c r="BN8" s="23">
        <v>0</v>
      </c>
      <c r="BO8" s="23">
        <v>0</v>
      </c>
      <c r="BP8" s="23">
        <v>0</v>
      </c>
      <c r="BQ8" s="23">
        <v>0</v>
      </c>
      <c r="BR8" s="23">
        <v>0</v>
      </c>
      <c r="BS8" s="23">
        <v>0</v>
      </c>
      <c r="BT8" s="23">
        <v>0</v>
      </c>
      <c r="BU8" s="23">
        <v>0</v>
      </c>
      <c r="BV8" s="23">
        <v>0</v>
      </c>
      <c r="BW8" s="23">
        <v>0</v>
      </c>
      <c r="BX8" s="23">
        <v>0</v>
      </c>
      <c r="BY8" s="23">
        <v>0</v>
      </c>
      <c r="BZ8" s="23">
        <v>0.85</v>
      </c>
      <c r="CA8" s="23">
        <v>0</v>
      </c>
      <c r="CB8" s="23">
        <v>0</v>
      </c>
      <c r="CC8" s="23">
        <v>0</v>
      </c>
      <c r="CD8" s="23">
        <v>0</v>
      </c>
      <c r="CE8" s="23">
        <v>0</v>
      </c>
      <c r="CF8" s="23">
        <v>0</v>
      </c>
      <c r="CG8" s="23">
        <v>0</v>
      </c>
      <c r="CH8" s="23">
        <v>0</v>
      </c>
      <c r="CI8" s="31">
        <v>0</v>
      </c>
      <c r="CJ8" s="23">
        <v>0.197629124770508</v>
      </c>
      <c r="CK8" s="23">
        <v>0</v>
      </c>
      <c r="CL8" s="23">
        <v>0</v>
      </c>
      <c r="CM8" s="23">
        <v>0</v>
      </c>
      <c r="CN8" s="23">
        <v>0</v>
      </c>
      <c r="CO8" s="23">
        <v>0</v>
      </c>
      <c r="CP8" s="23">
        <v>0</v>
      </c>
      <c r="CQ8" s="23">
        <v>0</v>
      </c>
      <c r="CR8" s="23">
        <v>0.231376712328767</v>
      </c>
      <c r="CS8" s="23">
        <v>0</v>
      </c>
      <c r="CT8" s="23">
        <v>0</v>
      </c>
      <c r="CU8" s="23">
        <v>0</v>
      </c>
      <c r="CV8" s="23">
        <v>0</v>
      </c>
      <c r="CW8" s="23">
        <v>0</v>
      </c>
      <c r="CX8" s="23">
        <v>0</v>
      </c>
      <c r="CY8" s="23">
        <v>0</v>
      </c>
      <c r="CZ8" s="23">
        <v>0</v>
      </c>
      <c r="DA8" s="23">
        <v>0</v>
      </c>
      <c r="DB8" s="23">
        <v>0</v>
      </c>
      <c r="DC8" s="23">
        <v>0</v>
      </c>
      <c r="DD8" s="23">
        <v>0</v>
      </c>
      <c r="DE8" s="23">
        <v>0</v>
      </c>
      <c r="DF8" s="23">
        <v>0</v>
      </c>
      <c r="DG8" s="23">
        <v>0</v>
      </c>
      <c r="DH8" s="23">
        <v>0</v>
      </c>
      <c r="DI8" s="23">
        <v>0</v>
      </c>
      <c r="DJ8" s="23">
        <v>0</v>
      </c>
      <c r="DK8" s="23">
        <v>0.186709162480324</v>
      </c>
    </row>
    <row r="9" spans="1:115">
      <c r="A9" s="22" t="str">
        <f t="shared" si="0"/>
        <v>???OIL_DST</v>
      </c>
      <c r="B9" t="s">
        <v>464</v>
      </c>
      <c r="F9" s="23">
        <v>0</v>
      </c>
      <c r="G9" s="23">
        <v>0.16250922214911</v>
      </c>
      <c r="H9" s="23">
        <v>0</v>
      </c>
      <c r="I9" s="23">
        <v>0.36963858016714</v>
      </c>
      <c r="J9" s="23">
        <v>0</v>
      </c>
      <c r="K9" s="23">
        <v>0.0485029898628751</v>
      </c>
      <c r="L9" s="23">
        <v>0.0109796596097966</v>
      </c>
      <c r="M9" s="23">
        <v>0.021689497716895</v>
      </c>
      <c r="N9" s="23">
        <v>0.181641598275213</v>
      </c>
      <c r="O9" s="23">
        <v>0</v>
      </c>
      <c r="P9" s="23">
        <v>0.85</v>
      </c>
      <c r="Q9" s="23">
        <v>0</v>
      </c>
      <c r="R9" s="23">
        <v>0.12976572262791</v>
      </c>
      <c r="S9" s="23">
        <v>0</v>
      </c>
      <c r="T9" s="23">
        <v>0</v>
      </c>
      <c r="U9" s="23">
        <v>0.0726051484276341</v>
      </c>
      <c r="V9" s="23">
        <v>0.0148930499852423</v>
      </c>
      <c r="W9" s="23">
        <v>0</v>
      </c>
      <c r="X9" s="23">
        <v>0.0259395855286266</v>
      </c>
      <c r="Y9" s="23">
        <v>0.0045250730182237</v>
      </c>
      <c r="Z9" s="23">
        <v>0.305106530702651</v>
      </c>
      <c r="AA9" s="23">
        <v>0</v>
      </c>
      <c r="AB9" s="23">
        <v>0.00543806730438067</v>
      </c>
      <c r="AC9" s="23">
        <v>0</v>
      </c>
      <c r="AD9" s="23">
        <v>0</v>
      </c>
      <c r="AE9" s="23">
        <v>0</v>
      </c>
      <c r="AF9" s="23">
        <v>0</v>
      </c>
      <c r="AG9" s="23">
        <v>0.00453784849258345</v>
      </c>
      <c r="AH9" s="23">
        <v>0.2150305225341</v>
      </c>
      <c r="AI9" s="23">
        <v>0</v>
      </c>
      <c r="AJ9" s="23">
        <v>0.0529903482552615</v>
      </c>
      <c r="AK9" s="23">
        <v>0.0421627081896127</v>
      </c>
      <c r="AL9" s="23">
        <v>0.107011341876565</v>
      </c>
      <c r="AM9" s="23">
        <v>0.0449702504497025</v>
      </c>
      <c r="AN9" s="23">
        <v>0.00607762557077626</v>
      </c>
      <c r="AO9" s="23">
        <v>0.85</v>
      </c>
      <c r="AP9" s="23">
        <v>0.1263610887044</v>
      </c>
      <c r="AQ9" s="23">
        <v>0.488592750938043</v>
      </c>
      <c r="AR9" s="23">
        <v>0</v>
      </c>
      <c r="AS9" s="23">
        <v>0.0203578031767375</v>
      </c>
      <c r="AT9" s="23">
        <v>0.0713927933293627</v>
      </c>
      <c r="AU9" s="23">
        <v>0.157564662941601</v>
      </c>
      <c r="AV9" s="23">
        <v>0.00410958904109589</v>
      </c>
      <c r="AW9" s="23">
        <v>0.184622421531646</v>
      </c>
      <c r="AX9" s="23">
        <v>0</v>
      </c>
      <c r="AY9" s="23">
        <v>0.278524362753598</v>
      </c>
      <c r="AZ9" s="23">
        <v>0.537214611872146</v>
      </c>
      <c r="BA9" s="23">
        <v>0</v>
      </c>
      <c r="BB9" s="23">
        <v>0</v>
      </c>
      <c r="BC9" s="23">
        <v>0</v>
      </c>
      <c r="BD9" s="23">
        <v>0</v>
      </c>
      <c r="BE9" s="23">
        <v>0</v>
      </c>
      <c r="BF9" s="23">
        <v>0</v>
      </c>
      <c r="BG9" s="23">
        <v>0</v>
      </c>
      <c r="BH9" s="23">
        <v>0.121553894041238</v>
      </c>
      <c r="BI9" s="23">
        <v>0.018113434270608</v>
      </c>
      <c r="BJ9" s="23">
        <v>0.246749676476307</v>
      </c>
      <c r="BK9" s="23">
        <v>0</v>
      </c>
      <c r="BL9" s="23">
        <v>0</v>
      </c>
      <c r="BM9" s="23">
        <v>0.00891386644811302</v>
      </c>
      <c r="BN9" s="23">
        <v>0</v>
      </c>
      <c r="BO9" s="23">
        <v>0.229642313546423</v>
      </c>
      <c r="BP9" s="23">
        <v>0</v>
      </c>
      <c r="BQ9" s="23">
        <v>0</v>
      </c>
      <c r="BR9" s="23">
        <v>0.00264890638008022</v>
      </c>
      <c r="BS9" s="23">
        <v>0</v>
      </c>
      <c r="BT9" s="23">
        <v>0</v>
      </c>
      <c r="BU9" s="23">
        <v>0.0223468745079515</v>
      </c>
      <c r="BV9" s="23">
        <v>0.319920091324201</v>
      </c>
      <c r="BW9" s="23">
        <v>0.0362694685980592</v>
      </c>
      <c r="BX9" s="23">
        <v>0.200929079415634</v>
      </c>
      <c r="BY9" s="23">
        <v>0</v>
      </c>
      <c r="BZ9" s="23">
        <v>0.0297443401188066</v>
      </c>
      <c r="CA9" s="23">
        <v>0.606651386199367</v>
      </c>
      <c r="CB9" s="23">
        <v>0</v>
      </c>
      <c r="CC9" s="23">
        <v>0</v>
      </c>
      <c r="CD9" s="23">
        <v>0</v>
      </c>
      <c r="CE9" s="23">
        <v>0.85</v>
      </c>
      <c r="CF9" s="23">
        <v>0.077364118426867</v>
      </c>
      <c r="CG9" s="23">
        <v>0</v>
      </c>
      <c r="CH9" s="23">
        <v>0</v>
      </c>
      <c r="CI9" s="31">
        <v>0</v>
      </c>
      <c r="CJ9" s="23">
        <v>0</v>
      </c>
      <c r="CK9" s="23">
        <v>0</v>
      </c>
      <c r="CL9" s="23">
        <v>0</v>
      </c>
      <c r="CM9" s="23">
        <v>0</v>
      </c>
      <c r="CN9" s="23">
        <v>0</v>
      </c>
      <c r="CO9" s="23">
        <v>0.00702174482906929</v>
      </c>
      <c r="CP9" s="23">
        <v>0.547622620696732</v>
      </c>
      <c r="CQ9" s="23">
        <v>0.264612256291664</v>
      </c>
      <c r="CR9" s="23">
        <v>0</v>
      </c>
      <c r="CS9" s="23">
        <v>0.00661333910497473</v>
      </c>
      <c r="CT9" s="23">
        <v>0.00389720717850696</v>
      </c>
      <c r="CU9" s="23">
        <v>0.0182805465550244</v>
      </c>
      <c r="CV9" s="23">
        <v>0</v>
      </c>
      <c r="CW9" s="23">
        <v>0.0207896411686265</v>
      </c>
      <c r="CX9" s="23">
        <v>0.131398217705111</v>
      </c>
      <c r="CY9" s="23">
        <v>0.000243330930064888</v>
      </c>
      <c r="CZ9" s="23">
        <v>0.00058122708855875</v>
      </c>
      <c r="DA9" s="23">
        <v>0</v>
      </c>
      <c r="DB9" s="23">
        <v>0.0652065825018836</v>
      </c>
      <c r="DC9" s="23">
        <v>0.0120899400023971</v>
      </c>
      <c r="DD9" s="23">
        <v>0</v>
      </c>
      <c r="DE9" s="23">
        <v>0.259203880094291</v>
      </c>
      <c r="DF9" s="23">
        <v>0</v>
      </c>
      <c r="DG9" s="23">
        <v>0.328297389673307</v>
      </c>
      <c r="DH9" s="23">
        <v>0.414877666462209</v>
      </c>
      <c r="DI9" s="23">
        <v>0</v>
      </c>
      <c r="DJ9" s="23">
        <v>0.00420743639921722</v>
      </c>
      <c r="DK9" s="23">
        <v>0.105587346203106</v>
      </c>
    </row>
    <row r="10" spans="1:115">
      <c r="A10" s="22" t="str">
        <f t="shared" si="0"/>
        <v>???BSL</v>
      </c>
      <c r="B10" t="s">
        <v>465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0.19869004353209</v>
      </c>
      <c r="L10" s="23">
        <v>0.634455134642938</v>
      </c>
      <c r="M10" s="23">
        <v>0</v>
      </c>
      <c r="N10" s="23">
        <v>0</v>
      </c>
      <c r="O10" s="23">
        <v>0.829528158295281</v>
      </c>
      <c r="P10" s="23">
        <v>0.602381706987827</v>
      </c>
      <c r="Q10" s="23">
        <v>0.114155251141552</v>
      </c>
      <c r="R10" s="23">
        <v>0.0258649261994308</v>
      </c>
      <c r="S10" s="23">
        <v>0.85</v>
      </c>
      <c r="T10" s="23">
        <v>0</v>
      </c>
      <c r="U10" s="23">
        <v>0.286636085144842</v>
      </c>
      <c r="V10" s="23">
        <v>0.0866232611235</v>
      </c>
      <c r="W10" s="23">
        <v>0</v>
      </c>
      <c r="X10" s="23">
        <v>0</v>
      </c>
      <c r="Y10" s="23">
        <v>0.85</v>
      </c>
      <c r="Z10" s="23">
        <v>0</v>
      </c>
      <c r="AA10" s="23">
        <v>0.85</v>
      </c>
      <c r="AB10" s="23">
        <v>0.259081038835571</v>
      </c>
      <c r="AC10" s="23">
        <v>0</v>
      </c>
      <c r="AD10" s="23">
        <v>0</v>
      </c>
      <c r="AE10" s="23">
        <v>0.85</v>
      </c>
      <c r="AF10" s="23">
        <v>0</v>
      </c>
      <c r="AG10" s="23">
        <v>0.339696118027508</v>
      </c>
      <c r="AH10" s="23">
        <v>0.327488895807389</v>
      </c>
      <c r="AI10" s="23">
        <v>0</v>
      </c>
      <c r="AJ10" s="23">
        <v>0.750649881706925</v>
      </c>
      <c r="AK10" s="23">
        <v>0</v>
      </c>
      <c r="AL10" s="23">
        <v>0.0318207762557078</v>
      </c>
      <c r="AM10" s="23">
        <v>0.85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0.85</v>
      </c>
      <c r="AT10" s="23">
        <v>0</v>
      </c>
      <c r="AU10" s="23">
        <v>0.560473441196965</v>
      </c>
      <c r="AV10" s="23">
        <v>0</v>
      </c>
      <c r="AW10" s="23">
        <v>0.85</v>
      </c>
      <c r="AX10" s="23">
        <v>0</v>
      </c>
      <c r="AY10" s="23">
        <v>0</v>
      </c>
      <c r="AZ10" s="23">
        <v>0</v>
      </c>
      <c r="BA10" s="23">
        <v>0</v>
      </c>
      <c r="BB10" s="23">
        <v>0</v>
      </c>
      <c r="BC10" s="23">
        <v>0.85</v>
      </c>
      <c r="BD10" s="23">
        <v>0</v>
      </c>
      <c r="BE10" s="23">
        <v>0.85</v>
      </c>
      <c r="BF10" s="23">
        <v>0.85</v>
      </c>
      <c r="BG10" s="23">
        <v>0</v>
      </c>
      <c r="BH10" s="23">
        <v>0.106798694187896</v>
      </c>
      <c r="BI10" s="23">
        <v>0</v>
      </c>
      <c r="BJ10" s="23">
        <v>0</v>
      </c>
      <c r="BK10" s="23">
        <v>0</v>
      </c>
      <c r="BL10" s="23">
        <v>0</v>
      </c>
      <c r="BM10" s="23">
        <v>0</v>
      </c>
      <c r="BN10" s="23">
        <v>0</v>
      </c>
      <c r="BO10" s="23">
        <v>0.076027397260274</v>
      </c>
      <c r="BP10" s="23">
        <v>0</v>
      </c>
      <c r="BQ10" s="23">
        <v>0.688905852846571</v>
      </c>
      <c r="BR10" s="23">
        <v>0</v>
      </c>
      <c r="BS10" s="23">
        <v>0</v>
      </c>
      <c r="BT10" s="23">
        <v>0</v>
      </c>
      <c r="BU10" s="23">
        <v>0.700895555984308</v>
      </c>
      <c r="BV10" s="23">
        <v>0</v>
      </c>
      <c r="BW10" s="23">
        <v>0</v>
      </c>
      <c r="BX10" s="23">
        <v>0.219454500978474</v>
      </c>
      <c r="BY10" s="23">
        <v>0</v>
      </c>
      <c r="BZ10" s="23">
        <v>0.405921588103022</v>
      </c>
      <c r="CA10" s="23">
        <v>0</v>
      </c>
      <c r="CB10" s="23">
        <v>0.0962652490969808</v>
      </c>
      <c r="CC10" s="23">
        <v>0.28041322458085</v>
      </c>
      <c r="CD10" s="23">
        <v>0.3158527032935</v>
      </c>
      <c r="CE10" s="23">
        <v>0.825042894700429</v>
      </c>
      <c r="CF10" s="23">
        <v>0.386871336507011</v>
      </c>
      <c r="CG10" s="23">
        <v>0</v>
      </c>
      <c r="CH10" s="23">
        <v>0.324049623150135</v>
      </c>
      <c r="CI10" s="31">
        <v>0</v>
      </c>
      <c r="CJ10" s="23">
        <v>0</v>
      </c>
      <c r="CK10" s="23">
        <v>0.000114155251141553</v>
      </c>
      <c r="CL10" s="23">
        <v>0.85</v>
      </c>
      <c r="CM10" s="23">
        <v>0.673371481417259</v>
      </c>
      <c r="CN10" s="23">
        <v>0.849752663622527</v>
      </c>
      <c r="CO10" s="23">
        <v>0</v>
      </c>
      <c r="CP10" s="23">
        <v>0.85</v>
      </c>
      <c r="CQ10" s="23">
        <v>0.395530108447488</v>
      </c>
      <c r="CR10" s="23">
        <v>0</v>
      </c>
      <c r="CS10" s="23">
        <v>0.347135361944692</v>
      </c>
      <c r="CT10" s="23">
        <v>0.0681265593371934</v>
      </c>
      <c r="CU10" s="23">
        <v>0.0177001339317183</v>
      </c>
      <c r="CV10" s="23">
        <v>0</v>
      </c>
      <c r="CW10" s="23">
        <v>0.116782605593607</v>
      </c>
      <c r="CX10" s="23">
        <v>0</v>
      </c>
      <c r="CY10" s="23">
        <v>0</v>
      </c>
      <c r="CZ10" s="23">
        <v>0.59238227739726</v>
      </c>
      <c r="DA10" s="23">
        <v>0</v>
      </c>
      <c r="DB10" s="23">
        <v>0</v>
      </c>
      <c r="DC10" s="23">
        <v>0.484777977075474</v>
      </c>
      <c r="DD10" s="23">
        <v>0</v>
      </c>
      <c r="DE10" s="23">
        <v>0.626861244094738</v>
      </c>
      <c r="DF10" s="23">
        <v>0</v>
      </c>
      <c r="DG10" s="23">
        <v>0</v>
      </c>
      <c r="DH10" s="23">
        <v>0.0167004904447827</v>
      </c>
      <c r="DI10" s="23">
        <v>0</v>
      </c>
      <c r="DJ10" s="23">
        <v>0</v>
      </c>
      <c r="DK10" s="23">
        <v>0.369018990837122</v>
      </c>
    </row>
    <row r="12" spans="2:114">
      <c r="B12" s="24" t="s">
        <v>466</v>
      </c>
      <c r="C12" s="24"/>
      <c r="D12" s="24"/>
      <c r="E12" s="24"/>
      <c r="F12" s="23">
        <v>0.1</v>
      </c>
      <c r="G12" s="23">
        <v>0.1</v>
      </c>
      <c r="H12" s="23">
        <v>0.1</v>
      </c>
      <c r="I12" s="23">
        <v>0.1</v>
      </c>
      <c r="J12" s="23">
        <v>0.1</v>
      </c>
      <c r="K12" s="23">
        <v>0.1</v>
      </c>
      <c r="L12" s="23">
        <v>0.1</v>
      </c>
      <c r="M12" s="23">
        <v>0.1</v>
      </c>
      <c r="N12" s="23">
        <v>0.1</v>
      </c>
      <c r="O12" s="23">
        <v>0.1</v>
      </c>
      <c r="P12" s="23">
        <v>0.1</v>
      </c>
      <c r="Q12" s="23">
        <v>0.1</v>
      </c>
      <c r="R12" s="23">
        <v>0.1</v>
      </c>
      <c r="S12" s="23">
        <v>0.1</v>
      </c>
      <c r="T12" s="23">
        <v>0.1</v>
      </c>
      <c r="U12" s="23">
        <v>0.1</v>
      </c>
      <c r="V12" s="23">
        <v>0.1</v>
      </c>
      <c r="W12" s="23">
        <v>0.1</v>
      </c>
      <c r="X12" s="23">
        <v>0.1</v>
      </c>
      <c r="Y12" s="23">
        <v>0.1</v>
      </c>
      <c r="Z12" s="23">
        <v>0.1</v>
      </c>
      <c r="AA12" s="23">
        <v>0.1</v>
      </c>
      <c r="AB12" s="23">
        <v>0.1</v>
      </c>
      <c r="AC12" s="23">
        <v>0.1</v>
      </c>
      <c r="AD12" s="23">
        <v>0.1</v>
      </c>
      <c r="AE12" s="23">
        <v>0.1</v>
      </c>
      <c r="AF12" s="23">
        <v>0.1</v>
      </c>
      <c r="AG12" s="23">
        <v>0.1</v>
      </c>
      <c r="AH12" s="23">
        <v>0.1</v>
      </c>
      <c r="AI12" s="23">
        <v>0.1</v>
      </c>
      <c r="AJ12" s="23">
        <v>0.1</v>
      </c>
      <c r="AK12" s="23">
        <v>0.1</v>
      </c>
      <c r="AL12" s="23">
        <v>0.1</v>
      </c>
      <c r="AM12" s="23">
        <v>0.1</v>
      </c>
      <c r="AN12" s="23">
        <v>0.1</v>
      </c>
      <c r="AO12" s="23">
        <v>0.1</v>
      </c>
      <c r="AP12" s="23">
        <v>0.1</v>
      </c>
      <c r="AQ12" s="23">
        <v>0.1</v>
      </c>
      <c r="AR12" s="23">
        <v>0.1</v>
      </c>
      <c r="AS12" s="23">
        <v>0.1</v>
      </c>
      <c r="AT12" s="23">
        <v>0.1</v>
      </c>
      <c r="AU12" s="23">
        <v>0.1</v>
      </c>
      <c r="AV12" s="23">
        <v>0.1</v>
      </c>
      <c r="AW12" s="23">
        <v>0.1</v>
      </c>
      <c r="AX12" s="23">
        <v>0.1</v>
      </c>
      <c r="AY12" s="23">
        <v>0.1</v>
      </c>
      <c r="AZ12" s="23">
        <v>0.1</v>
      </c>
      <c r="BA12" s="23">
        <v>0.1</v>
      </c>
      <c r="BB12" s="23">
        <v>0.1</v>
      </c>
      <c r="BC12" s="23">
        <v>0.1</v>
      </c>
      <c r="BD12" s="23">
        <v>0.1</v>
      </c>
      <c r="BE12" s="23">
        <v>0.1</v>
      </c>
      <c r="BF12" s="23">
        <v>0.1</v>
      </c>
      <c r="BG12" s="23">
        <v>0.1</v>
      </c>
      <c r="BH12" s="23">
        <v>0.1</v>
      </c>
      <c r="BI12" s="23">
        <v>0.1</v>
      </c>
      <c r="BJ12" s="23">
        <v>0.1</v>
      </c>
      <c r="BK12" s="23">
        <v>0.1</v>
      </c>
      <c r="BL12" s="23">
        <v>0.1</v>
      </c>
      <c r="BM12" s="23">
        <v>0.1</v>
      </c>
      <c r="BN12" s="23">
        <v>0.1</v>
      </c>
      <c r="BO12" s="23">
        <v>0.1</v>
      </c>
      <c r="BP12" s="23">
        <v>0.1</v>
      </c>
      <c r="BQ12" s="23">
        <v>0.1</v>
      </c>
      <c r="BR12" s="23">
        <v>0.1</v>
      </c>
      <c r="BS12" s="23">
        <v>0.1</v>
      </c>
      <c r="BT12" s="23">
        <v>0.1</v>
      </c>
      <c r="BU12" s="23">
        <v>0.1</v>
      </c>
      <c r="BV12" s="23">
        <v>0.1</v>
      </c>
      <c r="BW12" s="23">
        <v>0.1</v>
      </c>
      <c r="BX12" s="23">
        <v>0.1</v>
      </c>
      <c r="BY12" s="23">
        <v>0.1</v>
      </c>
      <c r="BZ12" s="23">
        <v>0.1</v>
      </c>
      <c r="CA12" s="23">
        <v>0.1</v>
      </c>
      <c r="CB12" s="23">
        <v>0.1</v>
      </c>
      <c r="CC12" s="23">
        <v>0.1</v>
      </c>
      <c r="CD12" s="23">
        <v>0.1</v>
      </c>
      <c r="CE12" s="23">
        <v>0.1</v>
      </c>
      <c r="CF12" s="23">
        <v>0.1</v>
      </c>
      <c r="CG12" s="23">
        <v>0.1</v>
      </c>
      <c r="CH12" s="23">
        <v>0.1</v>
      </c>
      <c r="CI12" s="23">
        <v>0.1</v>
      </c>
      <c r="CJ12" s="23">
        <v>0.1</v>
      </c>
      <c r="CK12" s="23">
        <v>0.1</v>
      </c>
      <c r="CL12" s="23">
        <v>0.1</v>
      </c>
      <c r="CM12" s="23">
        <v>0.1</v>
      </c>
      <c r="CN12" s="23">
        <v>0.1</v>
      </c>
      <c r="CO12" s="23">
        <v>0.1</v>
      </c>
      <c r="CP12" s="23">
        <v>0.1</v>
      </c>
      <c r="CQ12" s="23">
        <v>0.1</v>
      </c>
      <c r="CR12" s="23">
        <v>0.1</v>
      </c>
      <c r="CS12" s="23">
        <v>0.1</v>
      </c>
      <c r="CT12" s="23">
        <v>0.1</v>
      </c>
      <c r="CU12" s="23">
        <v>0.1</v>
      </c>
      <c r="CV12" s="23">
        <v>0.1</v>
      </c>
      <c r="CW12" s="23">
        <v>0.1</v>
      </c>
      <c r="CX12" s="23">
        <v>0.1</v>
      </c>
      <c r="CY12" s="23">
        <v>0.1</v>
      </c>
      <c r="CZ12" s="23">
        <v>0.1</v>
      </c>
      <c r="DA12" s="23">
        <v>0.1</v>
      </c>
      <c r="DB12" s="23">
        <v>0.1</v>
      </c>
      <c r="DC12" s="23">
        <v>0.1</v>
      </c>
      <c r="DD12" s="23">
        <v>0.1</v>
      </c>
      <c r="DE12" s="23">
        <v>0.1</v>
      </c>
      <c r="DF12" s="23">
        <v>0.1</v>
      </c>
      <c r="DG12" s="23">
        <v>0.1</v>
      </c>
      <c r="DH12" s="23">
        <v>0.1</v>
      </c>
      <c r="DI12" s="23">
        <v>0.1</v>
      </c>
      <c r="DJ12" s="23">
        <v>0.25</v>
      </c>
    </row>
    <row r="14" spans="2:115">
      <c r="B14" s="22" t="s">
        <v>401</v>
      </c>
      <c r="C14" s="22"/>
      <c r="D14" s="22"/>
      <c r="E14" s="22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</row>
    <row r="15" spans="1:117">
      <c r="A15" s="25" t="s">
        <v>57</v>
      </c>
      <c r="B15" t="s">
        <v>4</v>
      </c>
      <c r="C15" t="s">
        <v>92</v>
      </c>
      <c r="D15" t="s">
        <v>265</v>
      </c>
      <c r="E15" t="s">
        <v>77</v>
      </c>
      <c r="F15" s="25" t="str">
        <f>F3</f>
        <v>Albania</v>
      </c>
      <c r="G15" s="25" t="str">
        <f t="shared" ref="G15:BR15" si="1">G3</f>
        <v>Algeria</v>
      </c>
      <c r="H15" s="25" t="str">
        <f t="shared" si="1"/>
        <v>Angola</v>
      </c>
      <c r="I15" s="25" t="str">
        <f t="shared" si="1"/>
        <v>Argentina</v>
      </c>
      <c r="J15" s="25" t="str">
        <f t="shared" si="1"/>
        <v>Armenia</v>
      </c>
      <c r="K15" s="25" t="str">
        <f t="shared" si="1"/>
        <v>Australia</v>
      </c>
      <c r="L15" s="25" t="str">
        <f t="shared" si="1"/>
        <v>Austria</v>
      </c>
      <c r="M15" s="25" t="str">
        <f t="shared" si="1"/>
        <v>Azerbaijan</v>
      </c>
      <c r="N15" s="25" t="str">
        <f t="shared" si="1"/>
        <v>Bangladesh</v>
      </c>
      <c r="O15" s="25" t="str">
        <f t="shared" si="1"/>
        <v>Belarus</v>
      </c>
      <c r="P15" s="25" t="str">
        <f t="shared" si="1"/>
        <v>Belgium</v>
      </c>
      <c r="Q15" s="25" t="str">
        <f t="shared" si="1"/>
        <v>Bosnia_Herz</v>
      </c>
      <c r="R15" s="25" t="str">
        <f t="shared" si="1"/>
        <v>Brazil</v>
      </c>
      <c r="S15" s="25" t="str">
        <f t="shared" si="1"/>
        <v>Bulgaria</v>
      </c>
      <c r="T15" s="25" t="str">
        <f t="shared" si="1"/>
        <v>Cameroon</v>
      </c>
      <c r="U15" s="25" t="str">
        <f t="shared" si="1"/>
        <v>Canada</v>
      </c>
      <c r="V15" s="25" t="str">
        <f t="shared" si="1"/>
        <v>Chile</v>
      </c>
      <c r="W15" s="25" t="str">
        <f t="shared" si="1"/>
        <v>China</v>
      </c>
      <c r="X15" s="25" t="str">
        <f t="shared" si="1"/>
        <v>Colombia</v>
      </c>
      <c r="Y15" s="25" t="str">
        <f t="shared" si="1"/>
        <v>Croatia</v>
      </c>
      <c r="Z15" s="25" t="str">
        <f t="shared" si="1"/>
        <v>Cyprus</v>
      </c>
      <c r="AA15" s="25" t="str">
        <f t="shared" si="1"/>
        <v>Czech</v>
      </c>
      <c r="AB15" s="25" t="str">
        <f t="shared" si="1"/>
        <v>Denmark</v>
      </c>
      <c r="AC15" s="25" t="str">
        <f t="shared" si="1"/>
        <v>DR_Congo</v>
      </c>
      <c r="AD15" s="25" t="str">
        <f t="shared" si="1"/>
        <v>Egypt</v>
      </c>
      <c r="AE15" s="25" t="str">
        <f t="shared" si="1"/>
        <v>Estonia</v>
      </c>
      <c r="AF15" s="25" t="str">
        <f t="shared" si="1"/>
        <v>Ethiopia</v>
      </c>
      <c r="AG15" s="25" t="str">
        <f t="shared" si="1"/>
        <v>Finland</v>
      </c>
      <c r="AH15" s="25" t="str">
        <f t="shared" si="1"/>
        <v>France</v>
      </c>
      <c r="AI15" s="25" t="str">
        <f t="shared" si="1"/>
        <v>Georgia</v>
      </c>
      <c r="AJ15" s="25" t="str">
        <f t="shared" si="1"/>
        <v>Germany</v>
      </c>
      <c r="AK15" s="25" t="str">
        <f t="shared" si="1"/>
        <v>Ghana</v>
      </c>
      <c r="AL15" s="25" t="str">
        <f t="shared" si="1"/>
        <v>Greece</v>
      </c>
      <c r="AM15" s="25" t="str">
        <f t="shared" si="1"/>
        <v>Hungary</v>
      </c>
      <c r="AN15" s="25" t="str">
        <f t="shared" si="1"/>
        <v>Iceland</v>
      </c>
      <c r="AO15" s="25" t="str">
        <f t="shared" si="1"/>
        <v>India</v>
      </c>
      <c r="AP15" s="25" t="str">
        <f t="shared" si="1"/>
        <v>Indonesia</v>
      </c>
      <c r="AQ15" s="25" t="str">
        <f t="shared" si="1"/>
        <v>Iran</v>
      </c>
      <c r="AR15" s="25" t="str">
        <f t="shared" si="1"/>
        <v>Iraq</v>
      </c>
      <c r="AS15" s="25" t="str">
        <f t="shared" si="1"/>
        <v>Ireland</v>
      </c>
      <c r="AT15" s="25" t="str">
        <f t="shared" si="1"/>
        <v>Israel</v>
      </c>
      <c r="AU15" s="25" t="str">
        <f t="shared" si="1"/>
        <v>Italy</v>
      </c>
      <c r="AV15" s="25" t="str">
        <f t="shared" si="1"/>
        <v>IvoryCoast</v>
      </c>
      <c r="AW15" s="25" t="str">
        <f t="shared" si="1"/>
        <v>Japan</v>
      </c>
      <c r="AX15" s="25" t="str">
        <f t="shared" si="1"/>
        <v>Kazakhstan</v>
      </c>
      <c r="AY15" s="25" t="str">
        <f t="shared" si="1"/>
        <v>Kenya</v>
      </c>
      <c r="AZ15" s="25" t="str">
        <f t="shared" si="1"/>
        <v>Kosovo</v>
      </c>
      <c r="BA15" s="25" t="str">
        <f t="shared" si="1"/>
        <v>Kuwait</v>
      </c>
      <c r="BB15" s="25" t="str">
        <f t="shared" si="1"/>
        <v>Kyrgyzstan</v>
      </c>
      <c r="BC15" s="25" t="str">
        <f t="shared" si="1"/>
        <v>Latvia</v>
      </c>
      <c r="BD15" s="25" t="str">
        <f t="shared" si="1"/>
        <v>Libya</v>
      </c>
      <c r="BE15" s="25" t="str">
        <f t="shared" si="1"/>
        <v>Lithuania</v>
      </c>
      <c r="BF15" s="25" t="str">
        <f t="shared" si="1"/>
        <v>Luxembourg</v>
      </c>
      <c r="BG15" s="25" t="str">
        <f t="shared" si="1"/>
        <v>Macedonia</v>
      </c>
      <c r="BH15" s="25" t="str">
        <f t="shared" si="1"/>
        <v>Malaysia</v>
      </c>
      <c r="BI15" s="25" t="str">
        <f t="shared" si="1"/>
        <v>Malta</v>
      </c>
      <c r="BJ15" s="25" t="str">
        <f t="shared" si="1"/>
        <v>Mexico</v>
      </c>
      <c r="BK15" s="25" t="str">
        <f t="shared" si="1"/>
        <v>Moldova</v>
      </c>
      <c r="BL15" s="25" t="str">
        <f t="shared" si="1"/>
        <v>Montenegro</v>
      </c>
      <c r="BM15" s="25" t="str">
        <f t="shared" si="1"/>
        <v>Morocco</v>
      </c>
      <c r="BN15" s="25" t="str">
        <f t="shared" si="1"/>
        <v>Mozambique</v>
      </c>
      <c r="BO15" s="25" t="str">
        <f t="shared" si="1"/>
        <v>Myanmar</v>
      </c>
      <c r="BP15" s="25" t="str">
        <f t="shared" si="1"/>
        <v>Nepal</v>
      </c>
      <c r="BQ15" s="25" t="str">
        <f t="shared" si="1"/>
        <v>Netherlands</v>
      </c>
      <c r="BR15" s="25" t="str">
        <f t="shared" si="1"/>
        <v>NewZealand</v>
      </c>
      <c r="BS15" s="25" t="str">
        <f t="shared" ref="BS15:DJ15" si="2">BS3</f>
        <v>Niger</v>
      </c>
      <c r="BT15" s="25" t="str">
        <f t="shared" si="2"/>
        <v>Nigeria</v>
      </c>
      <c r="BU15" s="25" t="str">
        <f t="shared" si="2"/>
        <v>Norway</v>
      </c>
      <c r="BV15" s="25" t="str">
        <f t="shared" si="2"/>
        <v>Oman</v>
      </c>
      <c r="BW15" s="25" t="str">
        <f t="shared" si="2"/>
        <v>Other_Africa</v>
      </c>
      <c r="BX15" s="25" t="str">
        <f t="shared" si="2"/>
        <v>Other_AsiaEm</v>
      </c>
      <c r="BY15" s="25" t="str">
        <f t="shared" si="2"/>
        <v>Other_EurDev</v>
      </c>
      <c r="BZ15" s="25" t="str">
        <f t="shared" si="2"/>
        <v>Other_LatAm</v>
      </c>
      <c r="CA15" s="25" t="str">
        <f t="shared" si="2"/>
        <v>Other_MidEast</v>
      </c>
      <c r="CB15" s="25" t="str">
        <f t="shared" si="2"/>
        <v>Pakistan</v>
      </c>
      <c r="CC15" s="25" t="str">
        <f t="shared" si="2"/>
        <v>Peru</v>
      </c>
      <c r="CD15" s="25" t="str">
        <f t="shared" si="2"/>
        <v>Philippines</v>
      </c>
      <c r="CE15" s="25" t="str">
        <f t="shared" si="2"/>
        <v>Poland</v>
      </c>
      <c r="CF15" s="25" t="str">
        <f t="shared" si="2"/>
        <v>Portugal</v>
      </c>
      <c r="CG15" s="25" t="str">
        <f t="shared" si="2"/>
        <v>Qatar</v>
      </c>
      <c r="CH15" s="25" t="str">
        <f t="shared" si="2"/>
        <v>Romania</v>
      </c>
      <c r="CI15" s="25" t="str">
        <f t="shared" si="2"/>
        <v>Russia</v>
      </c>
      <c r="CJ15" s="25" t="str">
        <f t="shared" si="2"/>
        <v>SaudiArabia</v>
      </c>
      <c r="CK15" s="25" t="str">
        <f t="shared" si="2"/>
        <v>Serbia</v>
      </c>
      <c r="CL15" s="25" t="str">
        <f t="shared" si="2"/>
        <v>Singapore</v>
      </c>
      <c r="CM15" s="25" t="str">
        <f t="shared" si="2"/>
        <v>Slovak</v>
      </c>
      <c r="CN15" s="25" t="str">
        <f t="shared" si="2"/>
        <v>Slovenia</v>
      </c>
      <c r="CO15" s="25" t="str">
        <f t="shared" si="2"/>
        <v>SouthAfrica</v>
      </c>
      <c r="CP15" s="25" t="str">
        <f t="shared" si="2"/>
        <v>SouthKorea</v>
      </c>
      <c r="CQ15" s="25" t="str">
        <f t="shared" si="2"/>
        <v>Spain</v>
      </c>
      <c r="CR15" s="25" t="str">
        <f t="shared" si="2"/>
        <v>Sudan</v>
      </c>
      <c r="CS15" s="25" t="str">
        <f t="shared" si="2"/>
        <v>Sweden</v>
      </c>
      <c r="CT15" s="25" t="str">
        <f t="shared" si="2"/>
        <v>Switzerland</v>
      </c>
      <c r="CU15" s="25" t="str">
        <f t="shared" si="2"/>
        <v>Taiwan</v>
      </c>
      <c r="CV15" s="25" t="str">
        <f t="shared" si="2"/>
        <v>Tajikistan</v>
      </c>
      <c r="CW15" s="25" t="str">
        <f t="shared" si="2"/>
        <v>Tanzania</v>
      </c>
      <c r="CX15" s="25" t="str">
        <f t="shared" si="2"/>
        <v>Thailand</v>
      </c>
      <c r="CY15" s="25" t="str">
        <f t="shared" si="2"/>
        <v>Tunisia</v>
      </c>
      <c r="CZ15" s="25" t="str">
        <f t="shared" si="2"/>
        <v>Turkey</v>
      </c>
      <c r="DA15" s="25" t="str">
        <f t="shared" si="2"/>
        <v>Turkmenistan</v>
      </c>
      <c r="DB15" s="25" t="str">
        <f t="shared" si="2"/>
        <v>UAE</v>
      </c>
      <c r="DC15" s="25" t="str">
        <f t="shared" si="2"/>
        <v>UK</v>
      </c>
      <c r="DD15" s="25" t="str">
        <f t="shared" si="2"/>
        <v>Ukraine</v>
      </c>
      <c r="DE15" s="25" t="str">
        <f t="shared" si="2"/>
        <v>USA</v>
      </c>
      <c r="DF15" s="25" t="str">
        <f t="shared" si="2"/>
        <v>Uzbekistan</v>
      </c>
      <c r="DG15" s="25" t="str">
        <f t="shared" si="2"/>
        <v>Venezuela</v>
      </c>
      <c r="DH15" s="25" t="str">
        <f t="shared" si="2"/>
        <v>Vietnam</v>
      </c>
      <c r="DI15" s="25" t="str">
        <f t="shared" si="2"/>
        <v>Yemen</v>
      </c>
      <c r="DJ15" s="25" t="str">
        <f t="shared" si="2"/>
        <v>Zambia</v>
      </c>
      <c r="DK15" s="25" t="s">
        <v>467</v>
      </c>
      <c r="DL15" s="25" t="s">
        <v>402</v>
      </c>
      <c r="DM15" s="25" t="s">
        <v>42</v>
      </c>
    </row>
    <row r="16" spans="1:117">
      <c r="A16">
        <v>2019</v>
      </c>
      <c r="B16" t="str">
        <f t="shared" ref="B16:B22" si="3">"UCE_utilization_"&amp;RIGHT(A4,3)&amp;"_"&amp;RIGHT(B$14,2)</f>
        <v>UCE_utilization_COB_UP</v>
      </c>
      <c r="C16" t="s">
        <v>404</v>
      </c>
      <c r="D16" t="str">
        <f t="shared" ref="D16:D22" si="4">A4</f>
        <v>???COB</v>
      </c>
      <c r="E16" s="51" t="s">
        <v>468</v>
      </c>
      <c r="F16" s="25">
        <f>-MAX(F4,$DK4)</f>
        <v>-0.426573382682398</v>
      </c>
      <c r="G16" s="25">
        <f t="shared" ref="G16:BR16" si="5">-MAX(G4,$DK4)</f>
        <v>-0.426573382682398</v>
      </c>
      <c r="H16" s="25">
        <f t="shared" si="5"/>
        <v>-0.426573382682398</v>
      </c>
      <c r="I16" s="25">
        <f t="shared" si="5"/>
        <v>-0.426573382682398</v>
      </c>
      <c r="J16" s="25">
        <f t="shared" si="5"/>
        <v>-0.426573382682398</v>
      </c>
      <c r="K16" s="25">
        <f t="shared" si="5"/>
        <v>-0.85</v>
      </c>
      <c r="L16" s="25">
        <f t="shared" si="5"/>
        <v>-0.426573382682398</v>
      </c>
      <c r="M16" s="25">
        <f t="shared" si="5"/>
        <v>-0.426573382682398</v>
      </c>
      <c r="N16" s="25">
        <f t="shared" si="5"/>
        <v>-0.426573382682398</v>
      </c>
      <c r="O16" s="25">
        <f t="shared" si="5"/>
        <v>-0.426573382682398</v>
      </c>
      <c r="P16" s="25">
        <f t="shared" si="5"/>
        <v>-0.426573382682398</v>
      </c>
      <c r="Q16" s="25">
        <f t="shared" si="5"/>
        <v>-0.658989959314695</v>
      </c>
      <c r="R16" s="25">
        <f t="shared" si="5"/>
        <v>-0.426573382682398</v>
      </c>
      <c r="S16" s="25">
        <f t="shared" si="5"/>
        <v>-0.484500100166484</v>
      </c>
      <c r="T16" s="25">
        <f t="shared" si="5"/>
        <v>-0.426573382682398</v>
      </c>
      <c r="U16" s="25">
        <f t="shared" si="5"/>
        <v>-0.85</v>
      </c>
      <c r="V16" s="25">
        <f>-MAX(V4,$DK4)-0.2</f>
        <v>-0.626573382682398</v>
      </c>
      <c r="W16" s="25">
        <f t="shared" si="5"/>
        <v>-0.426573382682398</v>
      </c>
      <c r="X16" s="25">
        <f t="shared" si="5"/>
        <v>-0.426573382682398</v>
      </c>
      <c r="Y16" s="25">
        <f t="shared" si="5"/>
        <v>-0.426573382682398</v>
      </c>
      <c r="Z16" s="25">
        <f t="shared" si="5"/>
        <v>-0.426573382682398</v>
      </c>
      <c r="AA16" s="25">
        <f t="shared" si="5"/>
        <v>-0.569956424552155</v>
      </c>
      <c r="AB16" s="25">
        <f t="shared" si="5"/>
        <v>-0.426573382682398</v>
      </c>
      <c r="AC16" s="25">
        <f t="shared" si="5"/>
        <v>-0.426573382682398</v>
      </c>
      <c r="AD16" s="25">
        <f t="shared" si="5"/>
        <v>-0.426573382682398</v>
      </c>
      <c r="AE16" s="25">
        <f t="shared" si="5"/>
        <v>-0.426573382682398</v>
      </c>
      <c r="AF16" s="25">
        <f t="shared" si="5"/>
        <v>-0.426573382682398</v>
      </c>
      <c r="AG16" s="25">
        <f t="shared" si="5"/>
        <v>-0.426573382682398</v>
      </c>
      <c r="AH16" s="25">
        <f t="shared" si="5"/>
        <v>-0.426573382682398</v>
      </c>
      <c r="AI16" s="25">
        <f t="shared" si="5"/>
        <v>-0.426573382682398</v>
      </c>
      <c r="AJ16" s="25">
        <f t="shared" si="5"/>
        <v>-0.652366805976757</v>
      </c>
      <c r="AK16" s="25">
        <f t="shared" si="5"/>
        <v>-0.426573382682398</v>
      </c>
      <c r="AL16" s="25">
        <f t="shared" si="5"/>
        <v>-0.49836791287862</v>
      </c>
      <c r="AM16" s="25">
        <f t="shared" si="5"/>
        <v>-0.426573382682398</v>
      </c>
      <c r="AN16" s="25">
        <f t="shared" si="5"/>
        <v>-0.426573382682398</v>
      </c>
      <c r="AO16" s="25">
        <f t="shared" si="5"/>
        <v>-0.480141480061005</v>
      </c>
      <c r="AP16" s="25">
        <f t="shared" si="5"/>
        <v>-0.671862808813278</v>
      </c>
      <c r="AQ16" s="25">
        <f t="shared" si="5"/>
        <v>-0.426573382682398</v>
      </c>
      <c r="AR16" s="25">
        <f t="shared" si="5"/>
        <v>-0.426573382682398</v>
      </c>
      <c r="AS16" s="25">
        <f t="shared" si="5"/>
        <v>-0.426573382682398</v>
      </c>
      <c r="AT16" s="25">
        <f t="shared" si="5"/>
        <v>-0.426573382682398</v>
      </c>
      <c r="AU16" s="25">
        <f t="shared" si="5"/>
        <v>-0.426573382682398</v>
      </c>
      <c r="AV16" s="25">
        <f t="shared" si="5"/>
        <v>-0.426573382682398</v>
      </c>
      <c r="AW16" s="25">
        <f>-MAX(AW4,$DK4)-0.1</f>
        <v>-0.526573382682398</v>
      </c>
      <c r="AX16" s="25">
        <f t="shared" si="5"/>
        <v>-0.426573382682398</v>
      </c>
      <c r="AY16" s="25">
        <f t="shared" si="5"/>
        <v>-0.426573382682398</v>
      </c>
      <c r="AZ16" s="25">
        <f t="shared" si="5"/>
        <v>-0.533478331773448</v>
      </c>
      <c r="BA16" s="25">
        <f t="shared" si="5"/>
        <v>-0.426573382682398</v>
      </c>
      <c r="BB16" s="25">
        <f t="shared" si="5"/>
        <v>-0.426573382682398</v>
      </c>
      <c r="BC16" s="25">
        <f t="shared" si="5"/>
        <v>-0.426573382682398</v>
      </c>
      <c r="BD16" s="25">
        <f t="shared" si="5"/>
        <v>-0.426573382682398</v>
      </c>
      <c r="BE16" s="25">
        <f t="shared" si="5"/>
        <v>-0.426573382682398</v>
      </c>
      <c r="BF16" s="25">
        <f t="shared" si="5"/>
        <v>-0.426573382682398</v>
      </c>
      <c r="BG16" s="25">
        <f t="shared" si="5"/>
        <v>-0.572837746029879</v>
      </c>
      <c r="BH16" s="25">
        <f>-MAX(BH4,$DK4)-0.3</f>
        <v>-0.726573382682398</v>
      </c>
      <c r="BI16" s="25">
        <f t="shared" si="5"/>
        <v>-0.426573382682398</v>
      </c>
      <c r="BJ16" s="25">
        <f t="shared" si="5"/>
        <v>-0.426573382682398</v>
      </c>
      <c r="BK16" s="25">
        <f t="shared" si="5"/>
        <v>-0.426573382682398</v>
      </c>
      <c r="BL16" s="25">
        <f t="shared" si="5"/>
        <v>-0.763267376966007</v>
      </c>
      <c r="BM16" s="25">
        <f>-MAX(BM4,$DK4)-0.2</f>
        <v>-0.626573382682398</v>
      </c>
      <c r="BN16" s="25">
        <f t="shared" si="5"/>
        <v>-0.426573382682398</v>
      </c>
      <c r="BO16" s="25">
        <f t="shared" si="5"/>
        <v>-0.426573382682398</v>
      </c>
      <c r="BP16" s="25">
        <f t="shared" si="5"/>
        <v>-0.426573382682398</v>
      </c>
      <c r="BQ16" s="25">
        <f t="shared" si="5"/>
        <v>-0.426573382682398</v>
      </c>
      <c r="BR16" s="25">
        <f t="shared" si="5"/>
        <v>-0.426573382682398</v>
      </c>
      <c r="BS16" s="25">
        <f>-MAX(BS4,$DK4)-0.2</f>
        <v>-0.626573382682398</v>
      </c>
      <c r="BT16" s="25">
        <f t="shared" ref="BT16:DJ16" si="6">-MAX(BT4,$DK4)</f>
        <v>-0.426573382682398</v>
      </c>
      <c r="BU16" s="25">
        <f t="shared" si="6"/>
        <v>-0.426573382682398</v>
      </c>
      <c r="BV16" s="25">
        <f t="shared" si="6"/>
        <v>-0.426573382682398</v>
      </c>
      <c r="BW16" s="25">
        <f t="shared" si="6"/>
        <v>-0.426573382682398</v>
      </c>
      <c r="BX16" s="25">
        <f t="shared" si="6"/>
        <v>-0.447743243788652</v>
      </c>
      <c r="BY16" s="25">
        <f t="shared" si="6"/>
        <v>-0.426573382682398</v>
      </c>
      <c r="BZ16" s="25">
        <f t="shared" si="6"/>
        <v>-0.426573382682398</v>
      </c>
      <c r="CA16" s="25">
        <f t="shared" si="6"/>
        <v>-0.426573382682398</v>
      </c>
      <c r="CB16" s="25">
        <f t="shared" si="6"/>
        <v>-0.426573382682398</v>
      </c>
      <c r="CC16" s="25">
        <f t="shared" si="6"/>
        <v>-0.426573382682398</v>
      </c>
      <c r="CD16" s="25">
        <f t="shared" si="6"/>
        <v>-0.85</v>
      </c>
      <c r="CE16" s="25">
        <f t="shared" si="6"/>
        <v>-0.630401475604938</v>
      </c>
      <c r="CF16" s="25">
        <f t="shared" si="6"/>
        <v>-0.426573382682398</v>
      </c>
      <c r="CG16" s="25">
        <f t="shared" si="6"/>
        <v>-0.426573382682398</v>
      </c>
      <c r="CH16" s="25">
        <f t="shared" si="6"/>
        <v>-0.426573382682398</v>
      </c>
      <c r="CI16" s="25">
        <f t="shared" si="6"/>
        <v>-0.426573382682398</v>
      </c>
      <c r="CJ16" s="25">
        <f t="shared" si="6"/>
        <v>-0.426573382682398</v>
      </c>
      <c r="CK16" s="25">
        <f t="shared" si="6"/>
        <v>-0.683598946325089</v>
      </c>
      <c r="CL16" s="25">
        <f t="shared" si="6"/>
        <v>-0.426573382682398</v>
      </c>
      <c r="CM16" s="25">
        <f t="shared" si="6"/>
        <v>-0.426573382682398</v>
      </c>
      <c r="CN16" s="25">
        <f t="shared" si="6"/>
        <v>-0.84622203196347</v>
      </c>
      <c r="CO16" s="25">
        <f t="shared" si="6"/>
        <v>-0.426573382682398</v>
      </c>
      <c r="CP16" s="25">
        <f t="shared" si="6"/>
        <v>-0.426573382682398</v>
      </c>
      <c r="CQ16" s="25">
        <f t="shared" si="6"/>
        <v>-0.426573382682398</v>
      </c>
      <c r="CR16" s="25">
        <f t="shared" si="6"/>
        <v>-0.426573382682398</v>
      </c>
      <c r="CS16" s="25">
        <f t="shared" si="6"/>
        <v>-0.426573382682398</v>
      </c>
      <c r="CT16" s="25">
        <f t="shared" si="6"/>
        <v>-0.426573382682398</v>
      </c>
      <c r="CU16" s="25">
        <f>-MAX(CU4,$DK4)-0.4</f>
        <v>-0.826573382682398</v>
      </c>
      <c r="CV16" s="25">
        <f t="shared" si="6"/>
        <v>-0.426573382682398</v>
      </c>
      <c r="CW16" s="25">
        <f t="shared" si="6"/>
        <v>-0.426573382682398</v>
      </c>
      <c r="CX16" s="25">
        <f t="shared" si="6"/>
        <v>-0.729314124761345</v>
      </c>
      <c r="CY16" s="25">
        <f t="shared" si="6"/>
        <v>-0.426573382682398</v>
      </c>
      <c r="CZ16" s="25">
        <f t="shared" si="6"/>
        <v>-0.594379419662691</v>
      </c>
      <c r="DA16" s="25">
        <f t="shared" si="6"/>
        <v>-0.426573382682398</v>
      </c>
      <c r="DB16" s="25">
        <f t="shared" si="6"/>
        <v>-0.426573382682398</v>
      </c>
      <c r="DC16" s="25">
        <f t="shared" si="6"/>
        <v>-0.426573382682398</v>
      </c>
      <c r="DD16" s="25">
        <f t="shared" si="6"/>
        <v>-0.426573382682398</v>
      </c>
      <c r="DE16" s="25">
        <f t="shared" si="6"/>
        <v>-0.621798376796139</v>
      </c>
      <c r="DF16" s="25">
        <f t="shared" si="6"/>
        <v>-0.426573382682398</v>
      </c>
      <c r="DG16" s="25">
        <f t="shared" si="6"/>
        <v>-0.426573382682398</v>
      </c>
      <c r="DH16" s="25">
        <f t="shared" si="6"/>
        <v>-0.426573382682398</v>
      </c>
      <c r="DI16" s="25">
        <f t="shared" si="6"/>
        <v>-0.426573382682398</v>
      </c>
      <c r="DJ16" s="25">
        <f t="shared" si="6"/>
        <v>-0.426573382682398</v>
      </c>
      <c r="DK16" s="7">
        <f>1/31.536</f>
        <v>0.0317097919837646</v>
      </c>
      <c r="DL16">
        <v>0</v>
      </c>
      <c r="DM16">
        <v>5</v>
      </c>
    </row>
    <row r="17" spans="1:117">
      <c r="A17">
        <v>2019</v>
      </c>
      <c r="B17" t="str">
        <f t="shared" si="3"/>
        <v>UCE_utilization_COA_UP</v>
      </c>
      <c r="C17" t="s">
        <v>404</v>
      </c>
      <c r="D17" t="str">
        <f t="shared" si="4"/>
        <v>???COA</v>
      </c>
      <c r="E17" s="51" t="s">
        <v>468</v>
      </c>
      <c r="F17" s="25">
        <f>-MAX(F5,$DK5)</f>
        <v>-0.616912126812187</v>
      </c>
      <c r="G17" s="25">
        <f t="shared" ref="G17:BR17" si="7">-MAX(G5,$DK5)</f>
        <v>-0.616912126812187</v>
      </c>
      <c r="H17" s="25">
        <f t="shared" si="7"/>
        <v>-0.616912126812187</v>
      </c>
      <c r="I17" s="25">
        <f t="shared" si="7"/>
        <v>-0.616912126812187</v>
      </c>
      <c r="J17" s="25">
        <f t="shared" si="7"/>
        <v>-0.616912126812187</v>
      </c>
      <c r="K17" s="25">
        <f t="shared" si="7"/>
        <v>-0.616912126812187</v>
      </c>
      <c r="L17" s="25">
        <f t="shared" si="7"/>
        <v>-0.616912126812187</v>
      </c>
      <c r="M17" s="25">
        <f t="shared" si="7"/>
        <v>-0.616912126812187</v>
      </c>
      <c r="N17" s="25">
        <f t="shared" si="7"/>
        <v>-0.616912126812187</v>
      </c>
      <c r="O17" s="25">
        <f t="shared" si="7"/>
        <v>-0.616912126812187</v>
      </c>
      <c r="P17" s="25">
        <f t="shared" si="7"/>
        <v>-0.616912126812187</v>
      </c>
      <c r="Q17" s="25">
        <f t="shared" si="7"/>
        <v>-0.616912126812187</v>
      </c>
      <c r="R17" s="25">
        <f t="shared" si="7"/>
        <v>-0.616912126812187</v>
      </c>
      <c r="S17" s="25">
        <f t="shared" si="7"/>
        <v>-0.616912126812187</v>
      </c>
      <c r="T17" s="25">
        <f t="shared" si="7"/>
        <v>-0.616912126812187</v>
      </c>
      <c r="U17" s="25">
        <f t="shared" si="7"/>
        <v>-0.616912126812187</v>
      </c>
      <c r="V17" s="25">
        <f t="shared" si="7"/>
        <v>-0.85</v>
      </c>
      <c r="W17" s="25">
        <f t="shared" si="7"/>
        <v>-0.649383336192316</v>
      </c>
      <c r="X17" s="25">
        <f t="shared" si="7"/>
        <v>-0.648096604778726</v>
      </c>
      <c r="Y17" s="25">
        <f t="shared" si="7"/>
        <v>-0.640332231144702</v>
      </c>
      <c r="Z17" s="25">
        <f t="shared" si="7"/>
        <v>-0.616912126812187</v>
      </c>
      <c r="AA17" s="25">
        <f t="shared" si="7"/>
        <v>-0.616912126812187</v>
      </c>
      <c r="AB17" s="25">
        <f t="shared" si="7"/>
        <v>-0.616912126812187</v>
      </c>
      <c r="AC17" s="25">
        <f t="shared" si="7"/>
        <v>-0.616912126812187</v>
      </c>
      <c r="AD17" s="25">
        <f t="shared" si="7"/>
        <v>-0.616912126812187</v>
      </c>
      <c r="AE17" s="25">
        <f t="shared" si="7"/>
        <v>-0.616912126812187</v>
      </c>
      <c r="AF17" s="25">
        <f t="shared" si="7"/>
        <v>-0.616912126812187</v>
      </c>
      <c r="AG17" s="25">
        <f t="shared" si="7"/>
        <v>-0.616912126812187</v>
      </c>
      <c r="AH17" s="25">
        <f t="shared" si="7"/>
        <v>-0.616912126812187</v>
      </c>
      <c r="AI17" s="25">
        <f t="shared" si="7"/>
        <v>-0.616912126812187</v>
      </c>
      <c r="AJ17" s="25">
        <f t="shared" si="7"/>
        <v>-0.616912126812187</v>
      </c>
      <c r="AK17" s="25">
        <f t="shared" si="7"/>
        <v>-0.616912126812187</v>
      </c>
      <c r="AL17" s="25">
        <f t="shared" si="7"/>
        <v>-0.616912126812187</v>
      </c>
      <c r="AM17" s="25">
        <f t="shared" si="7"/>
        <v>-0.616912126812187</v>
      </c>
      <c r="AN17" s="25">
        <f t="shared" si="7"/>
        <v>-0.616912126812187</v>
      </c>
      <c r="AO17" s="25">
        <f t="shared" si="7"/>
        <v>-0.616912126812187</v>
      </c>
      <c r="AP17" s="25">
        <f t="shared" si="7"/>
        <v>-0.616912126812187</v>
      </c>
      <c r="AQ17" s="25">
        <f t="shared" si="7"/>
        <v>-0.616912126812187</v>
      </c>
      <c r="AR17" s="25">
        <f t="shared" si="7"/>
        <v>-0.616912126812187</v>
      </c>
      <c r="AS17" s="25">
        <f t="shared" si="7"/>
        <v>-0.616912126812187</v>
      </c>
      <c r="AT17" s="25">
        <f t="shared" si="7"/>
        <v>-0.616912126812187</v>
      </c>
      <c r="AU17" s="25">
        <f t="shared" si="7"/>
        <v>-0.616912126812187</v>
      </c>
      <c r="AV17" s="25">
        <f t="shared" si="7"/>
        <v>-0.616912126812187</v>
      </c>
      <c r="AW17" s="25">
        <f>-MAX(AW5,$DK5)-0.1</f>
        <v>-0.82668427904306</v>
      </c>
      <c r="AX17" s="25">
        <f t="shared" si="7"/>
        <v>-0.832182949132185</v>
      </c>
      <c r="AY17" s="25">
        <f t="shared" si="7"/>
        <v>-0.616912126812187</v>
      </c>
      <c r="AZ17" s="25">
        <f t="shared" si="7"/>
        <v>-0.616912126812187</v>
      </c>
      <c r="BA17" s="25">
        <f t="shared" si="7"/>
        <v>-0.616912126812187</v>
      </c>
      <c r="BB17" s="25">
        <f t="shared" si="7"/>
        <v>-0.616912126812187</v>
      </c>
      <c r="BC17" s="25">
        <f t="shared" si="7"/>
        <v>-0.616912126812187</v>
      </c>
      <c r="BD17" s="25">
        <f t="shared" si="7"/>
        <v>-0.616912126812187</v>
      </c>
      <c r="BE17" s="25">
        <f t="shared" si="7"/>
        <v>-0.616912126812187</v>
      </c>
      <c r="BF17" s="25">
        <f t="shared" si="7"/>
        <v>-0.616912126812187</v>
      </c>
      <c r="BG17" s="25">
        <f t="shared" si="7"/>
        <v>-0.616912126812187</v>
      </c>
      <c r="BH17" s="25">
        <f t="shared" si="7"/>
        <v>-0.85</v>
      </c>
      <c r="BI17" s="25">
        <f t="shared" si="7"/>
        <v>-0.616912126812187</v>
      </c>
      <c r="BJ17" s="25">
        <f t="shared" si="7"/>
        <v>-0.616912126812187</v>
      </c>
      <c r="BK17" s="25">
        <f t="shared" si="7"/>
        <v>-0.616912126812187</v>
      </c>
      <c r="BL17" s="25">
        <f t="shared" si="7"/>
        <v>-0.616912126812187</v>
      </c>
      <c r="BM17" s="25">
        <f t="shared" si="7"/>
        <v>-0.710163487004676</v>
      </c>
      <c r="BN17" s="25">
        <f t="shared" si="7"/>
        <v>-0.616912126812187</v>
      </c>
      <c r="BO17" s="25">
        <f t="shared" si="7"/>
        <v>-0.85</v>
      </c>
      <c r="BP17" s="25">
        <f t="shared" si="7"/>
        <v>-0.616912126812187</v>
      </c>
      <c r="BQ17" s="25">
        <f t="shared" si="7"/>
        <v>-0.616912126812187</v>
      </c>
      <c r="BR17" s="25">
        <f t="shared" si="7"/>
        <v>-0.616912126812187</v>
      </c>
      <c r="BS17" s="25">
        <f t="shared" ref="BS17:DJ17" si="8">-MAX(BS5,$DK5)</f>
        <v>-0.616912126812187</v>
      </c>
      <c r="BT17" s="25">
        <f t="shared" si="8"/>
        <v>-0.616912126812187</v>
      </c>
      <c r="BU17" s="25">
        <f t="shared" si="8"/>
        <v>-0.616912126812187</v>
      </c>
      <c r="BV17" s="25">
        <f t="shared" si="8"/>
        <v>-0.616912126812187</v>
      </c>
      <c r="BW17" s="25">
        <f t="shared" si="8"/>
        <v>-0.616912126812187</v>
      </c>
      <c r="BX17" s="25">
        <f t="shared" si="8"/>
        <v>-0.66405318558623</v>
      </c>
      <c r="BY17" s="25">
        <f t="shared" si="8"/>
        <v>-0.616912126812187</v>
      </c>
      <c r="BZ17" s="25">
        <f t="shared" si="8"/>
        <v>-0.713629892430293</v>
      </c>
      <c r="CA17" s="25">
        <f t="shared" si="8"/>
        <v>-0.616912126812187</v>
      </c>
      <c r="CB17" s="25">
        <f t="shared" si="8"/>
        <v>-0.85</v>
      </c>
      <c r="CC17" s="25">
        <f t="shared" si="8"/>
        <v>-0.616912126812187</v>
      </c>
      <c r="CD17" s="25">
        <f t="shared" si="8"/>
        <v>-0.616912126812187</v>
      </c>
      <c r="CE17" s="25">
        <f t="shared" si="8"/>
        <v>-0.616912126812187</v>
      </c>
      <c r="CF17" s="25">
        <f t="shared" si="8"/>
        <v>-0.616912126812187</v>
      </c>
      <c r="CG17" s="25">
        <f t="shared" si="8"/>
        <v>-0.616912126812187</v>
      </c>
      <c r="CH17" s="25">
        <f t="shared" si="8"/>
        <v>-0.616912126812187</v>
      </c>
      <c r="CI17" s="25">
        <f t="shared" si="8"/>
        <v>-0.616912126812187</v>
      </c>
      <c r="CJ17" s="25">
        <f t="shared" si="8"/>
        <v>-0.616912126812187</v>
      </c>
      <c r="CK17" s="25">
        <f t="shared" si="8"/>
        <v>-0.616912126812187</v>
      </c>
      <c r="CL17" s="25">
        <f t="shared" si="8"/>
        <v>-0.616912126812187</v>
      </c>
      <c r="CM17" s="25">
        <f t="shared" si="8"/>
        <v>-0.616912126812187</v>
      </c>
      <c r="CN17" s="25">
        <f t="shared" si="8"/>
        <v>-0.616912126812187</v>
      </c>
      <c r="CO17" s="25">
        <f t="shared" si="8"/>
        <v>-0.616912126812187</v>
      </c>
      <c r="CP17" s="25">
        <f t="shared" si="8"/>
        <v>-0.806088926855747</v>
      </c>
      <c r="CQ17" s="25">
        <f t="shared" si="8"/>
        <v>-0.85</v>
      </c>
      <c r="CR17" s="25">
        <f t="shared" si="8"/>
        <v>-0.616912126812187</v>
      </c>
      <c r="CS17" s="25">
        <f t="shared" si="8"/>
        <v>-0.616912126812187</v>
      </c>
      <c r="CT17" s="25">
        <f t="shared" si="8"/>
        <v>-0.616912126812187</v>
      </c>
      <c r="CU17" s="25">
        <f t="shared" si="8"/>
        <v>-0.85</v>
      </c>
      <c r="CV17" s="25">
        <f t="shared" si="8"/>
        <v>-0.616912126812187</v>
      </c>
      <c r="CW17" s="25">
        <f t="shared" si="8"/>
        <v>-0.616912126812187</v>
      </c>
      <c r="CX17" s="25">
        <f t="shared" si="8"/>
        <v>-0.616912126812187</v>
      </c>
      <c r="CY17" s="25">
        <f t="shared" si="8"/>
        <v>-0.616912126812187</v>
      </c>
      <c r="CZ17" s="25">
        <f t="shared" si="8"/>
        <v>-0.85</v>
      </c>
      <c r="DA17" s="25">
        <f t="shared" si="8"/>
        <v>-0.616912126812187</v>
      </c>
      <c r="DB17" s="25">
        <f t="shared" si="8"/>
        <v>-0.616912126812187</v>
      </c>
      <c r="DC17" s="25">
        <f t="shared" si="8"/>
        <v>-0.616912126812187</v>
      </c>
      <c r="DD17" s="25">
        <f t="shared" si="8"/>
        <v>-0.616912126812187</v>
      </c>
      <c r="DE17" s="25">
        <f t="shared" si="8"/>
        <v>-0.616912126812187</v>
      </c>
      <c r="DF17" s="25">
        <f t="shared" si="8"/>
        <v>-0.616912126812187</v>
      </c>
      <c r="DG17" s="25">
        <f t="shared" si="8"/>
        <v>-0.616912126812187</v>
      </c>
      <c r="DH17" s="25">
        <f t="shared" si="8"/>
        <v>-0.85</v>
      </c>
      <c r="DI17" s="25">
        <f t="shared" si="8"/>
        <v>-0.616912126812187</v>
      </c>
      <c r="DJ17" s="25">
        <f t="shared" si="8"/>
        <v>-0.616912126812187</v>
      </c>
      <c r="DK17" s="7">
        <f t="shared" ref="DK17:DK22" si="9">1/31.536</f>
        <v>0.0317097919837646</v>
      </c>
      <c r="DL17">
        <v>0</v>
      </c>
      <c r="DM17">
        <v>5</v>
      </c>
    </row>
    <row r="18" spans="1:117">
      <c r="A18">
        <v>2019</v>
      </c>
      <c r="B18" t="str">
        <f t="shared" si="3"/>
        <v>UCE_utilization_NGA_UP</v>
      </c>
      <c r="C18" t="s">
        <v>404</v>
      </c>
      <c r="D18" t="str">
        <f t="shared" si="4"/>
        <v>???NGA</v>
      </c>
      <c r="E18" s="51" t="s">
        <v>468</v>
      </c>
      <c r="F18" s="26">
        <f>-MAX(F6,$DK6)-F12</f>
        <v>-0.494610254174867</v>
      </c>
      <c r="G18" s="26">
        <f t="shared" ref="G18:BR18" si="10">-MAX(G6,$DK6)-G12</f>
        <v>-0.494610254174867</v>
      </c>
      <c r="H18" s="26">
        <f t="shared" si="10"/>
        <v>-0.494610254174867</v>
      </c>
      <c r="I18" s="26">
        <f t="shared" si="10"/>
        <v>-0.531356083695337</v>
      </c>
      <c r="J18" s="26">
        <f t="shared" si="10"/>
        <v>-0.579755156668241</v>
      </c>
      <c r="K18" s="26">
        <f t="shared" si="10"/>
        <v>-0.494610254174867</v>
      </c>
      <c r="L18" s="26">
        <f t="shared" si="10"/>
        <v>-0.494610254174867</v>
      </c>
      <c r="M18" s="26">
        <f t="shared" si="10"/>
        <v>-0.804288266825491</v>
      </c>
      <c r="N18" s="26">
        <f t="shared" si="10"/>
        <v>-0.632596498892252</v>
      </c>
      <c r="O18" s="26">
        <f t="shared" si="10"/>
        <v>-0.56361224308838</v>
      </c>
      <c r="P18" s="26">
        <f t="shared" si="10"/>
        <v>-0.530763588524965</v>
      </c>
      <c r="Q18" s="26">
        <f t="shared" si="10"/>
        <v>-0.494610254174867</v>
      </c>
      <c r="R18" s="26">
        <f t="shared" si="10"/>
        <v>-0.89359488363634</v>
      </c>
      <c r="S18" s="26">
        <f t="shared" si="10"/>
        <v>-0.494610254174867</v>
      </c>
      <c r="T18" s="26">
        <f t="shared" si="10"/>
        <v>-0.494610254174867</v>
      </c>
      <c r="U18" s="26">
        <f t="shared" si="10"/>
        <v>-0.494610254174867</v>
      </c>
      <c r="V18" s="26">
        <f t="shared" si="10"/>
        <v>-0.494610254174867</v>
      </c>
      <c r="W18" s="26">
        <f t="shared" si="10"/>
        <v>-0.494610254174867</v>
      </c>
      <c r="X18" s="26">
        <f t="shared" si="10"/>
        <v>-0.494610254174867</v>
      </c>
      <c r="Y18" s="26">
        <f t="shared" si="10"/>
        <v>-0.53779994049698</v>
      </c>
      <c r="Z18" s="26">
        <f t="shared" si="10"/>
        <v>-0.494610254174867</v>
      </c>
      <c r="AA18" s="26">
        <f t="shared" si="10"/>
        <v>-0.494610254174867</v>
      </c>
      <c r="AB18" s="26">
        <f t="shared" si="10"/>
        <v>-0.494610254174867</v>
      </c>
      <c r="AC18" s="26">
        <f t="shared" si="10"/>
        <v>-0.494610254174867</v>
      </c>
      <c r="AD18" s="26">
        <f t="shared" si="10"/>
        <v>-0.494610254174867</v>
      </c>
      <c r="AE18" s="26">
        <f t="shared" si="10"/>
        <v>-0.494610254174867</v>
      </c>
      <c r="AF18" s="26">
        <f t="shared" si="10"/>
        <v>-0.494610254174867</v>
      </c>
      <c r="AG18" s="26">
        <f t="shared" si="10"/>
        <v>-0.494610254174867</v>
      </c>
      <c r="AH18" s="26">
        <f t="shared" si="10"/>
        <v>-0.582501783082533</v>
      </c>
      <c r="AI18" s="26">
        <f t="shared" si="10"/>
        <v>-0.606636344178082</v>
      </c>
      <c r="AJ18" s="26">
        <f t="shared" si="10"/>
        <v>-0.688441333124509</v>
      </c>
      <c r="AK18" s="26">
        <f t="shared" si="10"/>
        <v>-0.494610254174867</v>
      </c>
      <c r="AL18" s="26">
        <f t="shared" si="10"/>
        <v>-0.494610254174867</v>
      </c>
      <c r="AM18" s="26">
        <f t="shared" si="10"/>
        <v>-0.494610254174867</v>
      </c>
      <c r="AN18" s="26">
        <f t="shared" si="10"/>
        <v>-0.494610254174867</v>
      </c>
      <c r="AO18" s="26">
        <f t="shared" si="10"/>
        <v>-0.494610254174867</v>
      </c>
      <c r="AP18" s="26">
        <f t="shared" si="10"/>
        <v>-0.494610254174867</v>
      </c>
      <c r="AQ18" s="26">
        <f t="shared" si="10"/>
        <v>-0.62973529409053</v>
      </c>
      <c r="AR18" s="26">
        <f t="shared" si="10"/>
        <v>-0.494610254174867</v>
      </c>
      <c r="AS18" s="26">
        <f t="shared" si="10"/>
        <v>-0.494610254174867</v>
      </c>
      <c r="AT18" s="26">
        <f t="shared" si="10"/>
        <v>-0.59852893385236</v>
      </c>
      <c r="AU18" s="26">
        <f t="shared" si="10"/>
        <v>-0.494610254174867</v>
      </c>
      <c r="AV18" s="26">
        <f t="shared" si="10"/>
        <v>-0.825839178816703</v>
      </c>
      <c r="AW18" s="26">
        <f t="shared" si="10"/>
        <v>-0.670374796384549</v>
      </c>
      <c r="AX18" s="26">
        <f t="shared" si="10"/>
        <v>-0.811165327445686</v>
      </c>
      <c r="AY18" s="26">
        <f t="shared" si="10"/>
        <v>-0.494610254174867</v>
      </c>
      <c r="AZ18" s="26">
        <f t="shared" si="10"/>
        <v>-0.494610254174867</v>
      </c>
      <c r="BA18" s="26">
        <f t="shared" si="10"/>
        <v>-0.603138093993359</v>
      </c>
      <c r="BB18" s="26">
        <f t="shared" si="10"/>
        <v>-0.494610254174867</v>
      </c>
      <c r="BC18" s="26">
        <f t="shared" si="10"/>
        <v>-0.494610254174867</v>
      </c>
      <c r="BD18" s="26">
        <f t="shared" si="10"/>
        <v>-0.494610254174867</v>
      </c>
      <c r="BE18" s="26">
        <f t="shared" si="10"/>
        <v>-0.494610254174867</v>
      </c>
      <c r="BF18" s="26">
        <f t="shared" si="10"/>
        <v>-0.543945835301527</v>
      </c>
      <c r="BG18" s="26">
        <f t="shared" si="10"/>
        <v>-0.494610254174867</v>
      </c>
      <c r="BH18" s="26">
        <f t="shared" si="10"/>
        <v>-0.603199261246592</v>
      </c>
      <c r="BI18" s="26">
        <f t="shared" si="10"/>
        <v>-0.601579513523007</v>
      </c>
      <c r="BJ18" s="26">
        <f t="shared" si="10"/>
        <v>-0.599020881455646</v>
      </c>
      <c r="BK18" s="26">
        <f t="shared" si="10"/>
        <v>-0.770630460974597</v>
      </c>
      <c r="BL18" s="26">
        <f t="shared" si="10"/>
        <v>-0.494610254174867</v>
      </c>
      <c r="BM18" s="26">
        <f t="shared" si="10"/>
        <v>-0.496934116112198</v>
      </c>
      <c r="BN18" s="26">
        <f t="shared" si="10"/>
        <v>-0.652724022130415</v>
      </c>
      <c r="BO18" s="26">
        <f t="shared" si="10"/>
        <v>-0.494610254174867</v>
      </c>
      <c r="BP18" s="26">
        <f t="shared" si="10"/>
        <v>-0.494610254174867</v>
      </c>
      <c r="BQ18" s="26">
        <f t="shared" si="10"/>
        <v>-0.554316884417608</v>
      </c>
      <c r="BR18" s="26">
        <f t="shared" si="10"/>
        <v>-0.601931523887412</v>
      </c>
      <c r="BS18" s="26">
        <f t="shared" ref="BS18:DJ18" si="11">-MAX(BS6,$DK6)-BS12</f>
        <v>-0.494610254174867</v>
      </c>
      <c r="BT18" s="26">
        <f t="shared" si="11"/>
        <v>-0.494610254174867</v>
      </c>
      <c r="BU18" s="26">
        <f t="shared" si="11"/>
        <v>-0.494610254174867</v>
      </c>
      <c r="BV18" s="26">
        <f t="shared" si="11"/>
        <v>-0.494610254174867</v>
      </c>
      <c r="BW18" s="26">
        <f t="shared" si="11"/>
        <v>-0.494610254174867</v>
      </c>
      <c r="BX18" s="26">
        <f t="shared" si="11"/>
        <v>-0.494610254174867</v>
      </c>
      <c r="BY18" s="26">
        <f t="shared" si="11"/>
        <v>-0.494610254174867</v>
      </c>
      <c r="BZ18" s="26">
        <f t="shared" si="11"/>
        <v>-0.533183321922447</v>
      </c>
      <c r="CA18" s="26">
        <f t="shared" si="11"/>
        <v>-0.494610254174867</v>
      </c>
      <c r="CB18" s="26">
        <f t="shared" si="11"/>
        <v>-0.494610254174867</v>
      </c>
      <c r="CC18" s="26">
        <f t="shared" si="11"/>
        <v>-0.628995639336209</v>
      </c>
      <c r="CD18" s="26">
        <f t="shared" si="11"/>
        <v>-0.812812747123798</v>
      </c>
      <c r="CE18" s="26">
        <f t="shared" si="11"/>
        <v>-0.84884794629181</v>
      </c>
      <c r="CF18" s="26">
        <f t="shared" si="11"/>
        <v>-0.494610254174867</v>
      </c>
      <c r="CG18" s="26">
        <f t="shared" si="11"/>
        <v>-0.494610254174867</v>
      </c>
      <c r="CH18" s="26">
        <f t="shared" si="11"/>
        <v>-0.494610254174867</v>
      </c>
      <c r="CI18" s="26">
        <f t="shared" si="11"/>
        <v>-0.558149004604495</v>
      </c>
      <c r="CJ18" s="26">
        <f t="shared" si="11"/>
        <v>-0.494610254174867</v>
      </c>
      <c r="CK18" s="26">
        <f t="shared" si="11"/>
        <v>-0.494610254174867</v>
      </c>
      <c r="CL18" s="26">
        <f t="shared" si="11"/>
        <v>-0.597157974868923</v>
      </c>
      <c r="CM18" s="26">
        <f t="shared" si="11"/>
        <v>-0.494610254174867</v>
      </c>
      <c r="CN18" s="26">
        <f t="shared" si="11"/>
        <v>-0.494610254174867</v>
      </c>
      <c r="CO18" s="26">
        <f t="shared" si="11"/>
        <v>-0.494610254174867</v>
      </c>
      <c r="CP18" s="26">
        <f t="shared" si="11"/>
        <v>-0.497601490340264</v>
      </c>
      <c r="CQ18" s="26">
        <f t="shared" si="11"/>
        <v>-0.494610254174867</v>
      </c>
      <c r="CR18" s="26">
        <f t="shared" si="11"/>
        <v>-0.494610254174867</v>
      </c>
      <c r="CS18" s="26">
        <f t="shared" si="11"/>
        <v>-0.494610254174867</v>
      </c>
      <c r="CT18" s="26">
        <f t="shared" si="11"/>
        <v>-0.494610254174867</v>
      </c>
      <c r="CU18" s="26">
        <f t="shared" si="11"/>
        <v>-0.717830223203933</v>
      </c>
      <c r="CV18" s="26">
        <f t="shared" si="11"/>
        <v>-0.494610254174867</v>
      </c>
      <c r="CW18" s="26">
        <f t="shared" si="11"/>
        <v>-0.650249828928511</v>
      </c>
      <c r="CX18" s="26">
        <f t="shared" si="11"/>
        <v>-0.494610254174867</v>
      </c>
      <c r="CY18" s="26">
        <f t="shared" si="11"/>
        <v>-0.71091206805047</v>
      </c>
      <c r="CZ18" s="26">
        <f t="shared" si="11"/>
        <v>-0.494610254174867</v>
      </c>
      <c r="DA18" s="26">
        <f t="shared" si="11"/>
        <v>-0.494610254174867</v>
      </c>
      <c r="DB18" s="26">
        <f t="shared" si="11"/>
        <v>-0.494610254174867</v>
      </c>
      <c r="DC18" s="26">
        <f t="shared" si="11"/>
        <v>-0.496508536864362</v>
      </c>
      <c r="DD18" s="26">
        <f t="shared" si="11"/>
        <v>-0.674235505742355</v>
      </c>
      <c r="DE18" s="26">
        <f t="shared" si="11"/>
        <v>-0.494610254174867</v>
      </c>
      <c r="DF18" s="26">
        <f t="shared" si="11"/>
        <v>-0.662713218968623</v>
      </c>
      <c r="DG18" s="26">
        <f t="shared" si="11"/>
        <v>-0.494610254174867</v>
      </c>
      <c r="DH18" s="26">
        <f t="shared" si="11"/>
        <v>-0.687110147579863</v>
      </c>
      <c r="DI18" s="26">
        <f t="shared" si="11"/>
        <v>-0.494610254174867</v>
      </c>
      <c r="DJ18" s="26">
        <f t="shared" si="11"/>
        <v>-0.644610254174868</v>
      </c>
      <c r="DK18" s="7">
        <f t="shared" si="9"/>
        <v>0.0317097919837646</v>
      </c>
      <c r="DL18">
        <v>0</v>
      </c>
      <c r="DM18">
        <v>5</v>
      </c>
    </row>
    <row r="19" spans="1:117">
      <c r="A19">
        <v>2019</v>
      </c>
      <c r="B19" t="str">
        <f t="shared" si="3"/>
        <v>UCE_utilization_OIL_UP</v>
      </c>
      <c r="C19" t="s">
        <v>404</v>
      </c>
      <c r="D19" t="str">
        <f t="shared" si="4"/>
        <v>???OIL</v>
      </c>
      <c r="E19" s="51" t="s">
        <v>468</v>
      </c>
      <c r="F19" s="25">
        <f>-MAX(F7,$DK7)-F12</f>
        <v>-0.314797249286697</v>
      </c>
      <c r="G19" s="25">
        <f t="shared" ref="G19:BR19" si="12">-MAX(G7,$DK7)-G12</f>
        <v>-0.314797249286697</v>
      </c>
      <c r="H19" s="25">
        <f t="shared" si="12"/>
        <v>-0.391215511371799</v>
      </c>
      <c r="I19" s="25">
        <f t="shared" si="12"/>
        <v>-0.314797249286697</v>
      </c>
      <c r="J19" s="25">
        <f t="shared" si="12"/>
        <v>-0.314797249286697</v>
      </c>
      <c r="K19" s="25">
        <f t="shared" si="12"/>
        <v>-0.314797249286697</v>
      </c>
      <c r="L19" s="25">
        <f t="shared" si="12"/>
        <v>-0.314797249286697</v>
      </c>
      <c r="M19" s="25">
        <f t="shared" si="12"/>
        <v>-0.314797249286697</v>
      </c>
      <c r="N19" s="25">
        <f t="shared" si="12"/>
        <v>-0.352723158805791</v>
      </c>
      <c r="O19" s="25">
        <f t="shared" si="12"/>
        <v>-0.314797249286697</v>
      </c>
      <c r="P19" s="25">
        <f t="shared" si="12"/>
        <v>-0.314797249286697</v>
      </c>
      <c r="Q19" s="25">
        <f t="shared" si="12"/>
        <v>-0.314797249286697</v>
      </c>
      <c r="R19" s="25">
        <f t="shared" si="12"/>
        <v>-0.314797249286697</v>
      </c>
      <c r="S19" s="25">
        <f t="shared" si="12"/>
        <v>-0.474514840182648</v>
      </c>
      <c r="T19" s="25">
        <f t="shared" si="12"/>
        <v>-0.314797249286697</v>
      </c>
      <c r="U19" s="25">
        <f t="shared" si="12"/>
        <v>-0.314797249286697</v>
      </c>
      <c r="V19" s="25">
        <f t="shared" si="12"/>
        <v>-0.328959760273973</v>
      </c>
      <c r="W19" s="25">
        <f t="shared" si="12"/>
        <v>-0.314797249286697</v>
      </c>
      <c r="X19" s="25">
        <f t="shared" si="12"/>
        <v>-0.314797249286697</v>
      </c>
      <c r="Y19" s="25">
        <f t="shared" si="12"/>
        <v>-0.314797249286697</v>
      </c>
      <c r="Z19" s="25">
        <f t="shared" si="12"/>
        <v>-0.397433233645837</v>
      </c>
      <c r="AA19" s="25">
        <f t="shared" si="12"/>
        <v>-0.314797249286697</v>
      </c>
      <c r="AB19" s="25">
        <f t="shared" si="12"/>
        <v>-0.314797249286697</v>
      </c>
      <c r="AC19" s="25">
        <f t="shared" si="12"/>
        <v>-0.314797249286697</v>
      </c>
      <c r="AD19" s="25">
        <f t="shared" si="12"/>
        <v>-0.512254639574603</v>
      </c>
      <c r="AE19" s="25">
        <f t="shared" si="12"/>
        <v>-0.314797249286697</v>
      </c>
      <c r="AF19" s="25">
        <f t="shared" si="12"/>
        <v>-0.314797249286697</v>
      </c>
      <c r="AG19" s="25">
        <f t="shared" si="12"/>
        <v>-0.314797249286697</v>
      </c>
      <c r="AH19" s="25">
        <f t="shared" si="12"/>
        <v>-0.95</v>
      </c>
      <c r="AI19" s="25">
        <f t="shared" si="12"/>
        <v>-0.314797249286697</v>
      </c>
      <c r="AJ19" s="25">
        <f t="shared" si="12"/>
        <v>-0.314797249286697</v>
      </c>
      <c r="AK19" s="25">
        <f t="shared" si="12"/>
        <v>-0.95</v>
      </c>
      <c r="AL19" s="25">
        <f t="shared" si="12"/>
        <v>-0.52229538997963</v>
      </c>
      <c r="AM19" s="25">
        <f t="shared" si="12"/>
        <v>-0.314797249286697</v>
      </c>
      <c r="AN19" s="25">
        <f t="shared" si="12"/>
        <v>-0.314797249286697</v>
      </c>
      <c r="AO19" s="25">
        <f t="shared" si="12"/>
        <v>-0.314797249286697</v>
      </c>
      <c r="AP19" s="25">
        <f t="shared" si="12"/>
        <v>-0.314797249286697</v>
      </c>
      <c r="AQ19" s="25">
        <f t="shared" si="12"/>
        <v>-0.558694535943466</v>
      </c>
      <c r="AR19" s="25">
        <f t="shared" si="12"/>
        <v>-0.314797249286697</v>
      </c>
      <c r="AS19" s="25">
        <f t="shared" si="12"/>
        <v>-0.314797249286697</v>
      </c>
      <c r="AT19" s="25">
        <f t="shared" si="12"/>
        <v>-0.314797249286697</v>
      </c>
      <c r="AU19" s="25">
        <f t="shared" si="12"/>
        <v>-0.470793688884655</v>
      </c>
      <c r="AV19" s="25">
        <f t="shared" si="12"/>
        <v>-0.314797249286697</v>
      </c>
      <c r="AW19" s="25">
        <f t="shared" si="12"/>
        <v>-0.314797249286697</v>
      </c>
      <c r="AX19" s="25">
        <f t="shared" si="12"/>
        <v>-0.314797249286697</v>
      </c>
      <c r="AY19" s="25">
        <f t="shared" si="12"/>
        <v>-0.314797249286697</v>
      </c>
      <c r="AZ19" s="25">
        <f t="shared" si="12"/>
        <v>-0.328053652968037</v>
      </c>
      <c r="BA19" s="25">
        <f t="shared" si="12"/>
        <v>-0.95</v>
      </c>
      <c r="BB19" s="25">
        <f t="shared" si="12"/>
        <v>-0.95</v>
      </c>
      <c r="BC19" s="25">
        <f t="shared" si="12"/>
        <v>-0.314797249286697</v>
      </c>
      <c r="BD19" s="25">
        <f t="shared" si="12"/>
        <v>-0.95</v>
      </c>
      <c r="BE19" s="25">
        <f t="shared" si="12"/>
        <v>-0.314797249286697</v>
      </c>
      <c r="BF19" s="25">
        <f t="shared" si="12"/>
        <v>-0.314797249286697</v>
      </c>
      <c r="BG19" s="25">
        <f t="shared" si="12"/>
        <v>-0.314797249286697</v>
      </c>
      <c r="BH19" s="25">
        <f t="shared" si="12"/>
        <v>-0.314797249286697</v>
      </c>
      <c r="BI19" s="25">
        <f t="shared" si="12"/>
        <v>-0.314797249286697</v>
      </c>
      <c r="BJ19" s="25">
        <f t="shared" si="12"/>
        <v>-0.453355500444801</v>
      </c>
      <c r="BK19" s="25">
        <f t="shared" si="12"/>
        <v>-0.314797249286697</v>
      </c>
      <c r="BL19" s="25">
        <f t="shared" si="12"/>
        <v>-0.314797249286697</v>
      </c>
      <c r="BM19" s="25">
        <f t="shared" si="12"/>
        <v>-0.314797249286697</v>
      </c>
      <c r="BN19" s="25">
        <f t="shared" si="12"/>
        <v>-0.314797249286697</v>
      </c>
      <c r="BO19" s="25">
        <f t="shared" si="12"/>
        <v>-0.314797249286697</v>
      </c>
      <c r="BP19" s="25">
        <f t="shared" si="12"/>
        <v>-0.314797249286697</v>
      </c>
      <c r="BQ19" s="25">
        <f t="shared" si="12"/>
        <v>-0.314797249286697</v>
      </c>
      <c r="BR19" s="25">
        <f t="shared" si="12"/>
        <v>-0.314797249286697</v>
      </c>
      <c r="BS19" s="25">
        <f t="shared" ref="BS19:DJ19" si="13">-MAX(BS7,$DK7)-BS12</f>
        <v>-0.356673876472002</v>
      </c>
      <c r="BT19" s="25">
        <f t="shared" si="13"/>
        <v>-0.314797249286697</v>
      </c>
      <c r="BU19" s="25">
        <f t="shared" si="13"/>
        <v>-0.314797249286697</v>
      </c>
      <c r="BV19" s="25">
        <f t="shared" si="13"/>
        <v>-0.314797249286697</v>
      </c>
      <c r="BW19" s="25">
        <f t="shared" si="13"/>
        <v>-0.360688934803305</v>
      </c>
      <c r="BX19" s="25">
        <f t="shared" si="13"/>
        <v>-0.457449076244326</v>
      </c>
      <c r="BY19" s="25">
        <f t="shared" si="13"/>
        <v>-0.314797249286697</v>
      </c>
      <c r="BZ19" s="25">
        <f t="shared" si="13"/>
        <v>-0.454758235084039</v>
      </c>
      <c r="CA19" s="25">
        <f t="shared" si="13"/>
        <v>-0.68327219881812</v>
      </c>
      <c r="CB19" s="25">
        <f t="shared" si="13"/>
        <v>-0.314797249286697</v>
      </c>
      <c r="CC19" s="25">
        <f t="shared" si="13"/>
        <v>-0.314797249286697</v>
      </c>
      <c r="CD19" s="25">
        <f t="shared" si="13"/>
        <v>-0.314797249286697</v>
      </c>
      <c r="CE19" s="25">
        <f t="shared" si="13"/>
        <v>-0.314797249286697</v>
      </c>
      <c r="CF19" s="25">
        <f t="shared" si="13"/>
        <v>-0.354480656329971</v>
      </c>
      <c r="CG19" s="25">
        <f t="shared" si="13"/>
        <v>-0.314797249286697</v>
      </c>
      <c r="CH19" s="25">
        <f t="shared" si="13"/>
        <v>-0.314797249286697</v>
      </c>
      <c r="CI19" s="25">
        <f t="shared" si="13"/>
        <v>-0.314797249286697</v>
      </c>
      <c r="CJ19" s="25">
        <f t="shared" si="13"/>
        <v>-0.800448344966878</v>
      </c>
      <c r="CK19" s="25">
        <f t="shared" si="13"/>
        <v>-0.314797249286697</v>
      </c>
      <c r="CL19" s="25">
        <f t="shared" si="13"/>
        <v>-0.314797249286697</v>
      </c>
      <c r="CM19" s="25">
        <f t="shared" si="13"/>
        <v>-0.314797249286697</v>
      </c>
      <c r="CN19" s="25">
        <f t="shared" si="13"/>
        <v>-0.314797249286697</v>
      </c>
      <c r="CO19" s="25">
        <f t="shared" si="13"/>
        <v>-0.314797249286697</v>
      </c>
      <c r="CP19" s="25">
        <f t="shared" si="13"/>
        <v>-0.314797249286697</v>
      </c>
      <c r="CQ19" s="25">
        <f t="shared" si="13"/>
        <v>-0.631818511270566</v>
      </c>
      <c r="CR19" s="25">
        <f t="shared" si="13"/>
        <v>-0.492011228491087</v>
      </c>
      <c r="CS19" s="25">
        <f t="shared" si="13"/>
        <v>-0.314797249286697</v>
      </c>
      <c r="CT19" s="25">
        <f t="shared" si="13"/>
        <v>-0.314797249286697</v>
      </c>
      <c r="CU19" s="25">
        <f t="shared" si="13"/>
        <v>-0.447638955054104</v>
      </c>
      <c r="CV19" s="25">
        <f t="shared" si="13"/>
        <v>-0.314797249286697</v>
      </c>
      <c r="CW19" s="25">
        <f t="shared" si="13"/>
        <v>-0.314797249286697</v>
      </c>
      <c r="CX19" s="25">
        <f t="shared" si="13"/>
        <v>-0.95</v>
      </c>
      <c r="CY19" s="25">
        <f t="shared" si="13"/>
        <v>-0.314797249286697</v>
      </c>
      <c r="CZ19" s="25">
        <f t="shared" si="13"/>
        <v>-0.314797249286697</v>
      </c>
      <c r="DA19" s="25">
        <f t="shared" si="13"/>
        <v>-0.314797249286697</v>
      </c>
      <c r="DB19" s="25">
        <f t="shared" si="13"/>
        <v>-0.314797249286697</v>
      </c>
      <c r="DC19" s="25">
        <f t="shared" si="13"/>
        <v>-0.314797249286697</v>
      </c>
      <c r="DD19" s="25">
        <f t="shared" si="13"/>
        <v>-0.314797249286697</v>
      </c>
      <c r="DE19" s="25">
        <f t="shared" si="13"/>
        <v>-0.314797249286697</v>
      </c>
      <c r="DF19" s="25">
        <f t="shared" si="13"/>
        <v>-0.314797249286697</v>
      </c>
      <c r="DG19" s="25">
        <f t="shared" si="13"/>
        <v>-0.314797249286697</v>
      </c>
      <c r="DH19" s="25">
        <f t="shared" si="13"/>
        <v>-0.314797249286697</v>
      </c>
      <c r="DI19" s="25">
        <f t="shared" si="13"/>
        <v>-0.424503774112385</v>
      </c>
      <c r="DJ19" s="25">
        <f t="shared" si="13"/>
        <v>-0.886101864891392</v>
      </c>
      <c r="DK19" s="7">
        <f t="shared" si="9"/>
        <v>0.0317097919837646</v>
      </c>
      <c r="DL19">
        <v>0</v>
      </c>
      <c r="DM19">
        <v>5</v>
      </c>
    </row>
    <row r="20" spans="1:117">
      <c r="A20">
        <v>2019</v>
      </c>
      <c r="B20" t="str">
        <f t="shared" si="3"/>
        <v>UCE_utilization_CRD_UP</v>
      </c>
      <c r="C20" t="s">
        <v>404</v>
      </c>
      <c r="D20" t="str">
        <f t="shared" si="4"/>
        <v>???OIL_CRD</v>
      </c>
      <c r="E20" s="51" t="s">
        <v>468</v>
      </c>
      <c r="F20" s="27" t="str">
        <f>IF(F8=0,"",-MAX(F8,$DK8,-F$19))</f>
        <v/>
      </c>
      <c r="G20" s="27" t="str">
        <f t="shared" ref="G20:BR20" si="14">IF(G8=0,"",-MAX(G8,$DK8,-G$19))</f>
        <v/>
      </c>
      <c r="H20" s="27" t="str">
        <f t="shared" si="14"/>
        <v/>
      </c>
      <c r="I20" s="27" t="str">
        <f t="shared" si="14"/>
        <v/>
      </c>
      <c r="J20" s="27" t="str">
        <f t="shared" si="14"/>
        <v/>
      </c>
      <c r="K20" s="27" t="str">
        <f t="shared" si="14"/>
        <v/>
      </c>
      <c r="L20" s="27" t="str">
        <f t="shared" si="14"/>
        <v/>
      </c>
      <c r="M20" s="27" t="str">
        <f t="shared" si="14"/>
        <v/>
      </c>
      <c r="N20" s="27" t="str">
        <f t="shared" si="14"/>
        <v/>
      </c>
      <c r="O20" s="27" t="str">
        <f t="shared" si="14"/>
        <v/>
      </c>
      <c r="P20" s="27" t="str">
        <f t="shared" si="14"/>
        <v/>
      </c>
      <c r="Q20" s="27" t="str">
        <f t="shared" si="14"/>
        <v/>
      </c>
      <c r="R20" s="27" t="str">
        <f t="shared" si="14"/>
        <v/>
      </c>
      <c r="S20" s="27" t="str">
        <f t="shared" si="14"/>
        <v/>
      </c>
      <c r="T20" s="27" t="str">
        <f t="shared" si="14"/>
        <v/>
      </c>
      <c r="U20" s="27" t="str">
        <f t="shared" si="14"/>
        <v/>
      </c>
      <c r="V20" s="27" t="str">
        <f t="shared" si="14"/>
        <v/>
      </c>
      <c r="W20" s="27" t="str">
        <f t="shared" si="14"/>
        <v/>
      </c>
      <c r="X20" s="27" t="str">
        <f t="shared" si="14"/>
        <v/>
      </c>
      <c r="Y20" s="27" t="str">
        <f t="shared" si="14"/>
        <v/>
      </c>
      <c r="Z20" s="27" t="str">
        <f t="shared" si="14"/>
        <v/>
      </c>
      <c r="AA20" s="27" t="str">
        <f t="shared" si="14"/>
        <v/>
      </c>
      <c r="AB20" s="27" t="str">
        <f t="shared" si="14"/>
        <v/>
      </c>
      <c r="AC20" s="27" t="str">
        <f t="shared" si="14"/>
        <v/>
      </c>
      <c r="AD20" s="27" t="str">
        <f t="shared" si="14"/>
        <v/>
      </c>
      <c r="AE20" s="27" t="str">
        <f t="shared" si="14"/>
        <v/>
      </c>
      <c r="AF20" s="27" t="str">
        <f t="shared" si="14"/>
        <v/>
      </c>
      <c r="AG20" s="27" t="str">
        <f t="shared" si="14"/>
        <v/>
      </c>
      <c r="AH20" s="27" t="str">
        <f t="shared" si="14"/>
        <v/>
      </c>
      <c r="AI20" s="27" t="str">
        <f t="shared" si="14"/>
        <v/>
      </c>
      <c r="AJ20" s="27" t="str">
        <f t="shared" si="14"/>
        <v/>
      </c>
      <c r="AK20" s="27">
        <f t="shared" si="14"/>
        <v>-0.95</v>
      </c>
      <c r="AL20" s="27" t="str">
        <f t="shared" si="14"/>
        <v/>
      </c>
      <c r="AM20" s="27" t="str">
        <f t="shared" si="14"/>
        <v/>
      </c>
      <c r="AN20" s="27" t="str">
        <f t="shared" si="14"/>
        <v/>
      </c>
      <c r="AO20" s="27" t="str">
        <f t="shared" si="14"/>
        <v/>
      </c>
      <c r="AP20" s="27" t="str">
        <f t="shared" si="14"/>
        <v/>
      </c>
      <c r="AQ20" s="27" t="str">
        <f t="shared" si="14"/>
        <v/>
      </c>
      <c r="AR20" s="27">
        <f t="shared" si="14"/>
        <v>-0.784728775438394</v>
      </c>
      <c r="AS20" s="27" t="str">
        <f t="shared" si="14"/>
        <v/>
      </c>
      <c r="AT20" s="27" t="str">
        <f t="shared" si="14"/>
        <v/>
      </c>
      <c r="AU20" s="27" t="str">
        <f t="shared" si="14"/>
        <v/>
      </c>
      <c r="AV20" s="27" t="str">
        <f t="shared" si="14"/>
        <v/>
      </c>
      <c r="AW20" s="27">
        <f t="shared" si="14"/>
        <v>-0.314797249286697</v>
      </c>
      <c r="AX20" s="27" t="str">
        <f t="shared" si="14"/>
        <v/>
      </c>
      <c r="AY20" s="27" t="str">
        <f t="shared" si="14"/>
        <v/>
      </c>
      <c r="AZ20" s="27" t="str">
        <f t="shared" si="14"/>
        <v/>
      </c>
      <c r="BA20" s="27" t="str">
        <f t="shared" si="14"/>
        <v/>
      </c>
      <c r="BB20" s="27" t="str">
        <f t="shared" si="14"/>
        <v/>
      </c>
      <c r="BC20" s="27" t="str">
        <f t="shared" si="14"/>
        <v/>
      </c>
      <c r="BD20" s="27" t="str">
        <f t="shared" si="14"/>
        <v/>
      </c>
      <c r="BE20" s="27" t="str">
        <f t="shared" si="14"/>
        <v/>
      </c>
      <c r="BF20" s="27" t="str">
        <f t="shared" si="14"/>
        <v/>
      </c>
      <c r="BG20" s="27" t="str">
        <f t="shared" si="14"/>
        <v/>
      </c>
      <c r="BH20" s="27" t="str">
        <f t="shared" si="14"/>
        <v/>
      </c>
      <c r="BI20" s="27" t="str">
        <f t="shared" si="14"/>
        <v/>
      </c>
      <c r="BJ20" s="27" t="str">
        <f t="shared" si="14"/>
        <v/>
      </c>
      <c r="BK20" s="27" t="str">
        <f t="shared" si="14"/>
        <v/>
      </c>
      <c r="BL20" s="27" t="str">
        <f t="shared" si="14"/>
        <v/>
      </c>
      <c r="BM20" s="27" t="str">
        <f t="shared" si="14"/>
        <v/>
      </c>
      <c r="BN20" s="27" t="str">
        <f t="shared" si="14"/>
        <v/>
      </c>
      <c r="BO20" s="27" t="str">
        <f t="shared" si="14"/>
        <v/>
      </c>
      <c r="BP20" s="27" t="str">
        <f t="shared" si="14"/>
        <v/>
      </c>
      <c r="BQ20" s="27" t="str">
        <f t="shared" si="14"/>
        <v/>
      </c>
      <c r="BR20" s="27" t="str">
        <f t="shared" si="14"/>
        <v/>
      </c>
      <c r="BS20" s="27" t="str">
        <f t="shared" ref="BS20:DJ20" si="15">IF(BS8=0,"",-MAX(BS8,$DK8,-BS$19))</f>
        <v/>
      </c>
      <c r="BT20" s="27" t="str">
        <f t="shared" si="15"/>
        <v/>
      </c>
      <c r="BU20" s="27" t="str">
        <f t="shared" si="15"/>
        <v/>
      </c>
      <c r="BV20" s="27" t="str">
        <f t="shared" si="15"/>
        <v/>
      </c>
      <c r="BW20" s="27" t="str">
        <f t="shared" si="15"/>
        <v/>
      </c>
      <c r="BX20" s="27" t="str">
        <f t="shared" si="15"/>
        <v/>
      </c>
      <c r="BY20" s="27" t="str">
        <f t="shared" si="15"/>
        <v/>
      </c>
      <c r="BZ20" s="27">
        <f t="shared" si="15"/>
        <v>-0.85</v>
      </c>
      <c r="CA20" s="27" t="str">
        <f t="shared" si="15"/>
        <v/>
      </c>
      <c r="CB20" s="27" t="str">
        <f t="shared" si="15"/>
        <v/>
      </c>
      <c r="CC20" s="27" t="str">
        <f t="shared" si="15"/>
        <v/>
      </c>
      <c r="CD20" s="27" t="str">
        <f t="shared" si="15"/>
        <v/>
      </c>
      <c r="CE20" s="27" t="str">
        <f t="shared" si="15"/>
        <v/>
      </c>
      <c r="CF20" s="27" t="str">
        <f t="shared" si="15"/>
        <v/>
      </c>
      <c r="CG20" s="27" t="str">
        <f t="shared" si="15"/>
        <v/>
      </c>
      <c r="CH20" s="27" t="str">
        <f t="shared" si="15"/>
        <v/>
      </c>
      <c r="CI20" s="27" t="str">
        <f t="shared" si="15"/>
        <v/>
      </c>
      <c r="CJ20" s="27">
        <f t="shared" si="15"/>
        <v>-0.800448344966878</v>
      </c>
      <c r="CK20" s="27" t="str">
        <f t="shared" si="15"/>
        <v/>
      </c>
      <c r="CL20" s="27" t="str">
        <f t="shared" si="15"/>
        <v/>
      </c>
      <c r="CM20" s="27" t="str">
        <f t="shared" si="15"/>
        <v/>
      </c>
      <c r="CN20" s="27" t="str">
        <f t="shared" si="15"/>
        <v/>
      </c>
      <c r="CO20" s="27" t="str">
        <f t="shared" si="15"/>
        <v/>
      </c>
      <c r="CP20" s="27" t="str">
        <f t="shared" si="15"/>
        <v/>
      </c>
      <c r="CQ20" s="27" t="str">
        <f t="shared" si="15"/>
        <v/>
      </c>
      <c r="CR20" s="27">
        <f t="shared" si="15"/>
        <v>-0.492011228491087</v>
      </c>
      <c r="CS20" s="27" t="str">
        <f t="shared" si="15"/>
        <v/>
      </c>
      <c r="CT20" s="27" t="str">
        <f t="shared" si="15"/>
        <v/>
      </c>
      <c r="CU20" s="27" t="str">
        <f t="shared" si="15"/>
        <v/>
      </c>
      <c r="CV20" s="27" t="str">
        <f t="shared" si="15"/>
        <v/>
      </c>
      <c r="CW20" s="27" t="str">
        <f t="shared" si="15"/>
        <v/>
      </c>
      <c r="CX20" s="27" t="str">
        <f t="shared" si="15"/>
        <v/>
      </c>
      <c r="CY20" s="27" t="str">
        <f t="shared" si="15"/>
        <v/>
      </c>
      <c r="CZ20" s="27" t="str">
        <f t="shared" si="15"/>
        <v/>
      </c>
      <c r="DA20" s="27" t="str">
        <f t="shared" si="15"/>
        <v/>
      </c>
      <c r="DB20" s="27" t="str">
        <f t="shared" si="15"/>
        <v/>
      </c>
      <c r="DC20" s="27" t="str">
        <f t="shared" si="15"/>
        <v/>
      </c>
      <c r="DD20" s="27" t="str">
        <f t="shared" si="15"/>
        <v/>
      </c>
      <c r="DE20" s="27" t="str">
        <f t="shared" si="15"/>
        <v/>
      </c>
      <c r="DF20" s="27" t="str">
        <f t="shared" si="15"/>
        <v/>
      </c>
      <c r="DG20" s="27" t="str">
        <f t="shared" si="15"/>
        <v/>
      </c>
      <c r="DH20" s="27" t="str">
        <f t="shared" si="15"/>
        <v/>
      </c>
      <c r="DI20" s="27" t="str">
        <f t="shared" si="15"/>
        <v/>
      </c>
      <c r="DJ20" s="27" t="str">
        <f t="shared" si="15"/>
        <v/>
      </c>
      <c r="DK20" s="7">
        <f t="shared" si="9"/>
        <v>0.0317097919837646</v>
      </c>
      <c r="DL20">
        <v>0</v>
      </c>
      <c r="DM20">
        <v>5</v>
      </c>
    </row>
    <row r="21" spans="1:117">
      <c r="A21">
        <v>2019</v>
      </c>
      <c r="B21" t="str">
        <f t="shared" si="3"/>
        <v>UCE_utilization_DST_UP</v>
      </c>
      <c r="C21" t="s">
        <v>404</v>
      </c>
      <c r="D21" t="str">
        <f t="shared" si="4"/>
        <v>???OIL_DST</v>
      </c>
      <c r="E21" s="51" t="s">
        <v>468</v>
      </c>
      <c r="F21" s="27" t="str">
        <f>IF(F9=0,"",-MAX(F9,$DK9,-F$19))</f>
        <v/>
      </c>
      <c r="G21" s="27">
        <f t="shared" ref="G21:BR21" si="16">IF(G9=0,"",-MAX(G9,$DK9,-G$19))</f>
        <v>-0.314797249286697</v>
      </c>
      <c r="H21" s="27" t="str">
        <f t="shared" si="16"/>
        <v/>
      </c>
      <c r="I21" s="27">
        <f t="shared" si="16"/>
        <v>-0.36963858016714</v>
      </c>
      <c r="J21" s="27" t="str">
        <f t="shared" si="16"/>
        <v/>
      </c>
      <c r="K21" s="27">
        <f t="shared" si="16"/>
        <v>-0.314797249286697</v>
      </c>
      <c r="L21" s="27">
        <f t="shared" si="16"/>
        <v>-0.314797249286697</v>
      </c>
      <c r="M21" s="27">
        <f t="shared" si="16"/>
        <v>-0.314797249286697</v>
      </c>
      <c r="N21" s="27">
        <f t="shared" si="16"/>
        <v>-0.352723158805791</v>
      </c>
      <c r="O21" s="27" t="str">
        <f t="shared" si="16"/>
        <v/>
      </c>
      <c r="P21" s="27">
        <f t="shared" si="16"/>
        <v>-0.85</v>
      </c>
      <c r="Q21" s="27" t="str">
        <f t="shared" si="16"/>
        <v/>
      </c>
      <c r="R21" s="27">
        <f t="shared" si="16"/>
        <v>-0.314797249286697</v>
      </c>
      <c r="S21" s="27" t="str">
        <f t="shared" si="16"/>
        <v/>
      </c>
      <c r="T21" s="27" t="str">
        <f t="shared" si="16"/>
        <v/>
      </c>
      <c r="U21" s="27">
        <f t="shared" si="16"/>
        <v>-0.314797249286697</v>
      </c>
      <c r="V21" s="27">
        <f t="shared" si="16"/>
        <v>-0.328959760273973</v>
      </c>
      <c r="W21" s="27" t="str">
        <f t="shared" si="16"/>
        <v/>
      </c>
      <c r="X21" s="27">
        <f t="shared" si="16"/>
        <v>-0.314797249286697</v>
      </c>
      <c r="Y21" s="27">
        <f t="shared" si="16"/>
        <v>-0.314797249286697</v>
      </c>
      <c r="Z21" s="27">
        <f t="shared" si="16"/>
        <v>-0.397433233645837</v>
      </c>
      <c r="AA21" s="27" t="str">
        <f t="shared" si="16"/>
        <v/>
      </c>
      <c r="AB21" s="27">
        <f t="shared" si="16"/>
        <v>-0.314797249286697</v>
      </c>
      <c r="AC21" s="27" t="str">
        <f t="shared" si="16"/>
        <v/>
      </c>
      <c r="AD21" s="27" t="str">
        <f t="shared" si="16"/>
        <v/>
      </c>
      <c r="AE21" s="27" t="str">
        <f t="shared" si="16"/>
        <v/>
      </c>
      <c r="AF21" s="27" t="str">
        <f t="shared" si="16"/>
        <v/>
      </c>
      <c r="AG21" s="27">
        <f t="shared" si="16"/>
        <v>-0.314797249286697</v>
      </c>
      <c r="AH21" s="27">
        <f t="shared" si="16"/>
        <v>-0.95</v>
      </c>
      <c r="AI21" s="27" t="str">
        <f t="shared" si="16"/>
        <v/>
      </c>
      <c r="AJ21" s="27">
        <f t="shared" si="16"/>
        <v>-0.314797249286697</v>
      </c>
      <c r="AK21" s="27">
        <f t="shared" si="16"/>
        <v>-0.95</v>
      </c>
      <c r="AL21" s="27">
        <f t="shared" si="16"/>
        <v>-0.52229538997963</v>
      </c>
      <c r="AM21" s="27">
        <f t="shared" si="16"/>
        <v>-0.314797249286697</v>
      </c>
      <c r="AN21" s="27">
        <f t="shared" si="16"/>
        <v>-0.314797249286697</v>
      </c>
      <c r="AO21" s="27">
        <f t="shared" si="16"/>
        <v>-0.85</v>
      </c>
      <c r="AP21" s="27">
        <f t="shared" si="16"/>
        <v>-0.314797249286697</v>
      </c>
      <c r="AQ21" s="27">
        <f t="shared" si="16"/>
        <v>-0.558694535943466</v>
      </c>
      <c r="AR21" s="27" t="str">
        <f t="shared" si="16"/>
        <v/>
      </c>
      <c r="AS21" s="27">
        <f t="shared" si="16"/>
        <v>-0.314797249286697</v>
      </c>
      <c r="AT21" s="27">
        <f t="shared" si="16"/>
        <v>-0.314797249286697</v>
      </c>
      <c r="AU21" s="27">
        <f t="shared" si="16"/>
        <v>-0.470793688884655</v>
      </c>
      <c r="AV21" s="27">
        <f t="shared" si="16"/>
        <v>-0.314797249286697</v>
      </c>
      <c r="AW21" s="27">
        <f t="shared" si="16"/>
        <v>-0.314797249286697</v>
      </c>
      <c r="AX21" s="27" t="str">
        <f t="shared" si="16"/>
        <v/>
      </c>
      <c r="AY21" s="27">
        <f t="shared" si="16"/>
        <v>-0.314797249286697</v>
      </c>
      <c r="AZ21" s="27">
        <f t="shared" si="16"/>
        <v>-0.537214611872146</v>
      </c>
      <c r="BA21" s="27" t="str">
        <f t="shared" si="16"/>
        <v/>
      </c>
      <c r="BB21" s="27" t="str">
        <f t="shared" si="16"/>
        <v/>
      </c>
      <c r="BC21" s="27" t="str">
        <f t="shared" si="16"/>
        <v/>
      </c>
      <c r="BD21" s="27" t="str">
        <f t="shared" si="16"/>
        <v/>
      </c>
      <c r="BE21" s="27" t="str">
        <f t="shared" si="16"/>
        <v/>
      </c>
      <c r="BF21" s="27" t="str">
        <f t="shared" si="16"/>
        <v/>
      </c>
      <c r="BG21" s="27" t="str">
        <f t="shared" si="16"/>
        <v/>
      </c>
      <c r="BH21" s="27">
        <f t="shared" si="16"/>
        <v>-0.314797249286697</v>
      </c>
      <c r="BI21" s="27">
        <f t="shared" si="16"/>
        <v>-0.314797249286697</v>
      </c>
      <c r="BJ21" s="27">
        <f t="shared" si="16"/>
        <v>-0.453355500444801</v>
      </c>
      <c r="BK21" s="27" t="str">
        <f t="shared" si="16"/>
        <v/>
      </c>
      <c r="BL21" s="27" t="str">
        <f t="shared" si="16"/>
        <v/>
      </c>
      <c r="BM21" s="27">
        <f t="shared" si="16"/>
        <v>-0.314797249286697</v>
      </c>
      <c r="BN21" s="27" t="str">
        <f t="shared" si="16"/>
        <v/>
      </c>
      <c r="BO21" s="27">
        <f t="shared" si="16"/>
        <v>-0.314797249286697</v>
      </c>
      <c r="BP21" s="27" t="str">
        <f t="shared" si="16"/>
        <v/>
      </c>
      <c r="BQ21" s="27" t="str">
        <f t="shared" si="16"/>
        <v/>
      </c>
      <c r="BR21" s="27">
        <f t="shared" si="16"/>
        <v>-0.314797249286697</v>
      </c>
      <c r="BS21" s="27" t="str">
        <f t="shared" ref="BS21:DJ21" si="17">IF(BS9=0,"",-MAX(BS9,$DK9,-BS$19))</f>
        <v/>
      </c>
      <c r="BT21" s="27" t="str">
        <f t="shared" si="17"/>
        <v/>
      </c>
      <c r="BU21" s="27">
        <f t="shared" si="17"/>
        <v>-0.314797249286697</v>
      </c>
      <c r="BV21" s="27">
        <f t="shared" si="17"/>
        <v>-0.319920091324201</v>
      </c>
      <c r="BW21" s="27">
        <f t="shared" si="17"/>
        <v>-0.360688934803305</v>
      </c>
      <c r="BX21" s="27">
        <f t="shared" si="17"/>
        <v>-0.457449076244326</v>
      </c>
      <c r="BY21" s="27" t="str">
        <f t="shared" si="17"/>
        <v/>
      </c>
      <c r="BZ21" s="27">
        <f t="shared" si="17"/>
        <v>-0.454758235084039</v>
      </c>
      <c r="CA21" s="27">
        <f t="shared" si="17"/>
        <v>-0.68327219881812</v>
      </c>
      <c r="CB21" s="27" t="str">
        <f t="shared" si="17"/>
        <v/>
      </c>
      <c r="CC21" s="27" t="str">
        <f t="shared" si="17"/>
        <v/>
      </c>
      <c r="CD21" s="27" t="str">
        <f t="shared" si="17"/>
        <v/>
      </c>
      <c r="CE21" s="27">
        <f t="shared" si="17"/>
        <v>-0.85</v>
      </c>
      <c r="CF21" s="27">
        <f t="shared" si="17"/>
        <v>-0.354480656329971</v>
      </c>
      <c r="CG21" s="27" t="str">
        <f t="shared" si="17"/>
        <v/>
      </c>
      <c r="CH21" s="27" t="str">
        <f t="shared" si="17"/>
        <v/>
      </c>
      <c r="CI21" s="27" t="str">
        <f t="shared" si="17"/>
        <v/>
      </c>
      <c r="CJ21" s="27" t="str">
        <f t="shared" si="17"/>
        <v/>
      </c>
      <c r="CK21" s="27" t="str">
        <f t="shared" si="17"/>
        <v/>
      </c>
      <c r="CL21" s="27" t="str">
        <f t="shared" si="17"/>
        <v/>
      </c>
      <c r="CM21" s="27" t="str">
        <f t="shared" si="17"/>
        <v/>
      </c>
      <c r="CN21" s="27" t="str">
        <f t="shared" si="17"/>
        <v/>
      </c>
      <c r="CO21" s="27">
        <f t="shared" si="17"/>
        <v>-0.314797249286697</v>
      </c>
      <c r="CP21" s="27">
        <f t="shared" si="17"/>
        <v>-0.547622620696732</v>
      </c>
      <c r="CQ21" s="27">
        <f t="shared" si="17"/>
        <v>-0.631818511270566</v>
      </c>
      <c r="CR21" s="27" t="str">
        <f t="shared" si="17"/>
        <v/>
      </c>
      <c r="CS21" s="27">
        <f t="shared" si="17"/>
        <v>-0.314797249286697</v>
      </c>
      <c r="CT21" s="27">
        <f t="shared" si="17"/>
        <v>-0.314797249286697</v>
      </c>
      <c r="CU21" s="27">
        <f t="shared" si="17"/>
        <v>-0.447638955054104</v>
      </c>
      <c r="CV21" s="27" t="str">
        <f t="shared" si="17"/>
        <v/>
      </c>
      <c r="CW21" s="27">
        <f t="shared" si="17"/>
        <v>-0.314797249286697</v>
      </c>
      <c r="CX21" s="27">
        <f t="shared" si="17"/>
        <v>-0.95</v>
      </c>
      <c r="CY21" s="27">
        <f t="shared" si="17"/>
        <v>-0.314797249286697</v>
      </c>
      <c r="CZ21" s="27">
        <f t="shared" si="17"/>
        <v>-0.314797249286697</v>
      </c>
      <c r="DA21" s="27" t="str">
        <f t="shared" si="17"/>
        <v/>
      </c>
      <c r="DB21" s="27">
        <f t="shared" si="17"/>
        <v>-0.314797249286697</v>
      </c>
      <c r="DC21" s="27">
        <f t="shared" si="17"/>
        <v>-0.314797249286697</v>
      </c>
      <c r="DD21" s="27" t="str">
        <f t="shared" si="17"/>
        <v/>
      </c>
      <c r="DE21" s="27">
        <f t="shared" si="17"/>
        <v>-0.314797249286697</v>
      </c>
      <c r="DF21" s="27" t="str">
        <f t="shared" si="17"/>
        <v/>
      </c>
      <c r="DG21" s="27">
        <f t="shared" si="17"/>
        <v>-0.328297389673307</v>
      </c>
      <c r="DH21" s="27">
        <f t="shared" si="17"/>
        <v>-0.414877666462209</v>
      </c>
      <c r="DI21" s="27" t="str">
        <f t="shared" si="17"/>
        <v/>
      </c>
      <c r="DJ21" s="27">
        <f t="shared" si="17"/>
        <v>-0.886101864891392</v>
      </c>
      <c r="DK21" s="7">
        <f t="shared" si="9"/>
        <v>0.0317097919837646</v>
      </c>
      <c r="DL21">
        <v>0</v>
      </c>
      <c r="DM21">
        <v>5</v>
      </c>
    </row>
    <row r="22" spans="1:117">
      <c r="A22">
        <v>2019</v>
      </c>
      <c r="B22" t="str">
        <f t="shared" si="3"/>
        <v>UCE_utilization_BSL_UP</v>
      </c>
      <c r="C22" t="s">
        <v>404</v>
      </c>
      <c r="D22" t="str">
        <f t="shared" si="4"/>
        <v>???BSL</v>
      </c>
      <c r="E22" s="51" t="s">
        <v>468</v>
      </c>
      <c r="F22" s="25" t="str">
        <f>IF(F10=0,"",-MAX(F10,$DK10))</f>
        <v/>
      </c>
      <c r="G22" s="25" t="str">
        <f t="shared" ref="G22:BR22" si="18">IF(G10=0,"",-MAX(G10,$DK10))</f>
        <v/>
      </c>
      <c r="H22" s="25" t="str">
        <f t="shared" si="18"/>
        <v/>
      </c>
      <c r="I22" s="25" t="str">
        <f t="shared" si="18"/>
        <v/>
      </c>
      <c r="J22" s="25" t="str">
        <f t="shared" si="18"/>
        <v/>
      </c>
      <c r="K22" s="25">
        <f t="shared" si="18"/>
        <v>-0.369018990837122</v>
      </c>
      <c r="L22" s="25">
        <f t="shared" si="18"/>
        <v>-0.634455134642938</v>
      </c>
      <c r="M22" s="25" t="str">
        <f t="shared" si="18"/>
        <v/>
      </c>
      <c r="N22" s="25" t="str">
        <f t="shared" si="18"/>
        <v/>
      </c>
      <c r="O22" s="25">
        <f t="shared" si="18"/>
        <v>-0.829528158295281</v>
      </c>
      <c r="P22" s="25">
        <f t="shared" si="18"/>
        <v>-0.602381706987827</v>
      </c>
      <c r="Q22" s="25">
        <f t="shared" si="18"/>
        <v>-0.369018990837122</v>
      </c>
      <c r="R22" s="25">
        <f>IF(R10=0,"",-MAX(R10,$DK10))-0.4</f>
        <v>-0.769018990837122</v>
      </c>
      <c r="S22" s="25">
        <f t="shared" si="18"/>
        <v>-0.85</v>
      </c>
      <c r="T22" s="25" t="str">
        <f t="shared" si="18"/>
        <v/>
      </c>
      <c r="U22" s="25">
        <f>IF(U10=0,"",-MAX(U10,$DK10))-0.3</f>
        <v>-0.669018990837122</v>
      </c>
      <c r="V22" s="25">
        <f>IF(V10=0,"",-MAX(V10,$DK10))-0.3</f>
        <v>-0.669018990837122</v>
      </c>
      <c r="W22" s="25" t="str">
        <f t="shared" si="18"/>
        <v/>
      </c>
      <c r="X22" s="25" t="str">
        <f t="shared" si="18"/>
        <v/>
      </c>
      <c r="Y22" s="25">
        <f t="shared" si="18"/>
        <v>-0.85</v>
      </c>
      <c r="Z22" s="25" t="str">
        <f t="shared" si="18"/>
        <v/>
      </c>
      <c r="AA22" s="25">
        <f t="shared" si="18"/>
        <v>-0.85</v>
      </c>
      <c r="AB22" s="25">
        <f t="shared" si="18"/>
        <v>-0.369018990837122</v>
      </c>
      <c r="AC22" s="25" t="str">
        <f t="shared" si="18"/>
        <v/>
      </c>
      <c r="AD22" s="25" t="str">
        <f t="shared" si="18"/>
        <v/>
      </c>
      <c r="AE22" s="25">
        <f t="shared" si="18"/>
        <v>-0.85</v>
      </c>
      <c r="AF22" s="25" t="str">
        <f t="shared" si="18"/>
        <v/>
      </c>
      <c r="AG22" s="25">
        <f t="shared" ref="AG22:AH22" si="19">IF(AG10=0,"",-MAX(AG10,$DK10))-0.3</f>
        <v>-0.669018990837122</v>
      </c>
      <c r="AH22" s="25">
        <f t="shared" si="19"/>
        <v>-0.669018990837122</v>
      </c>
      <c r="AI22" s="25" t="str">
        <f t="shared" si="18"/>
        <v/>
      </c>
      <c r="AJ22" s="25">
        <f t="shared" si="18"/>
        <v>-0.750649881706925</v>
      </c>
      <c r="AK22" s="25" t="str">
        <f t="shared" si="18"/>
        <v/>
      </c>
      <c r="AL22" s="25">
        <f t="shared" si="18"/>
        <v>-0.369018990837122</v>
      </c>
      <c r="AM22" s="25">
        <f t="shared" si="18"/>
        <v>-0.85</v>
      </c>
      <c r="AN22" s="25" t="str">
        <f t="shared" si="18"/>
        <v/>
      </c>
      <c r="AO22" s="25" t="str">
        <f t="shared" si="18"/>
        <v/>
      </c>
      <c r="AP22" s="25" t="str">
        <f t="shared" si="18"/>
        <v/>
      </c>
      <c r="AQ22" s="25" t="str">
        <f t="shared" si="18"/>
        <v/>
      </c>
      <c r="AR22" s="25" t="str">
        <f t="shared" si="18"/>
        <v/>
      </c>
      <c r="AS22" s="25">
        <f t="shared" si="18"/>
        <v>-0.85</v>
      </c>
      <c r="AT22" s="25" t="str">
        <f t="shared" si="18"/>
        <v/>
      </c>
      <c r="AU22" s="25">
        <f t="shared" si="18"/>
        <v>-0.560473441196965</v>
      </c>
      <c r="AV22" s="25" t="str">
        <f t="shared" si="18"/>
        <v/>
      </c>
      <c r="AW22" s="25">
        <f>IF(AW10=0,"",-MAX(AW10,$DK10))-0.05</f>
        <v>-0.9</v>
      </c>
      <c r="AX22" s="25" t="str">
        <f t="shared" si="18"/>
        <v/>
      </c>
      <c r="AY22" s="25" t="str">
        <f t="shared" si="18"/>
        <v/>
      </c>
      <c r="AZ22" s="25" t="str">
        <f t="shared" si="18"/>
        <v/>
      </c>
      <c r="BA22" s="25" t="str">
        <f t="shared" si="18"/>
        <v/>
      </c>
      <c r="BB22" s="25" t="str">
        <f t="shared" si="18"/>
        <v/>
      </c>
      <c r="BC22" s="25">
        <f t="shared" si="18"/>
        <v>-0.85</v>
      </c>
      <c r="BD22" s="25" t="str">
        <f t="shared" si="18"/>
        <v/>
      </c>
      <c r="BE22" s="25">
        <f t="shared" si="18"/>
        <v>-0.85</v>
      </c>
      <c r="BF22" s="25">
        <f t="shared" si="18"/>
        <v>-0.85</v>
      </c>
      <c r="BG22" s="25" t="str">
        <f t="shared" si="18"/>
        <v/>
      </c>
      <c r="BH22" s="25">
        <f t="shared" ref="BH22" si="20">IF(BH10=0,"",-MAX(BH10,$DK10))-0.3</f>
        <v>-0.669018990837122</v>
      </c>
      <c r="BI22" s="25" t="str">
        <f t="shared" si="18"/>
        <v/>
      </c>
      <c r="BJ22" s="25" t="str">
        <f t="shared" si="18"/>
        <v/>
      </c>
      <c r="BK22" s="25" t="str">
        <f t="shared" si="18"/>
        <v/>
      </c>
      <c r="BL22" s="25" t="str">
        <f t="shared" si="18"/>
        <v/>
      </c>
      <c r="BM22" s="25" t="str">
        <f t="shared" si="18"/>
        <v/>
      </c>
      <c r="BN22" s="25" t="str">
        <f t="shared" si="18"/>
        <v/>
      </c>
      <c r="BO22" s="25">
        <f t="shared" ref="BO22" si="21">IF(BO10=0,"",-MAX(BO10,$DK10))-0.3</f>
        <v>-0.669018990837122</v>
      </c>
      <c r="BP22" s="25" t="str">
        <f t="shared" si="18"/>
        <v/>
      </c>
      <c r="BQ22" s="25">
        <f t="shared" si="18"/>
        <v>-0.688905852846571</v>
      </c>
      <c r="BR22" s="25" t="str">
        <f t="shared" si="18"/>
        <v/>
      </c>
      <c r="BS22" s="25" t="str">
        <f t="shared" ref="BS22:DJ22" si="22">IF(BS10=0,"",-MAX(BS10,$DK10))</f>
        <v/>
      </c>
      <c r="BT22" s="25" t="str">
        <f t="shared" si="22"/>
        <v/>
      </c>
      <c r="BU22" s="25">
        <f t="shared" si="22"/>
        <v>-0.700895555984308</v>
      </c>
      <c r="BV22" s="25" t="str">
        <f t="shared" si="22"/>
        <v/>
      </c>
      <c r="BW22" s="25" t="str">
        <f t="shared" si="22"/>
        <v/>
      </c>
      <c r="BX22" s="25">
        <f t="shared" si="22"/>
        <v>-0.369018990837122</v>
      </c>
      <c r="BY22" s="25" t="str">
        <f t="shared" si="22"/>
        <v/>
      </c>
      <c r="BZ22" s="25">
        <f t="shared" si="22"/>
        <v>-0.405921588103022</v>
      </c>
      <c r="CA22" s="25" t="str">
        <f t="shared" si="22"/>
        <v/>
      </c>
      <c r="CB22" s="25">
        <f t="shared" ref="CB22:CF22" si="23">IF(CB10=0,"",-MAX(CB10,$DK10))-0.3</f>
        <v>-0.669018990837122</v>
      </c>
      <c r="CC22" s="25">
        <f t="shared" si="23"/>
        <v>-0.669018990837122</v>
      </c>
      <c r="CD22" s="25">
        <f t="shared" si="23"/>
        <v>-0.669018990837122</v>
      </c>
      <c r="CE22" s="25">
        <f>IF(CE10=0,"",-MAX(CE10,$DK10))-0.05</f>
        <v>-0.875042894700429</v>
      </c>
      <c r="CF22" s="25">
        <f t="shared" si="23"/>
        <v>-0.686871336507011</v>
      </c>
      <c r="CG22" s="25" t="str">
        <f t="shared" si="22"/>
        <v/>
      </c>
      <c r="CH22" s="25">
        <f t="shared" si="22"/>
        <v>-0.369018990837122</v>
      </c>
      <c r="CI22" s="25" t="str">
        <f t="shared" si="22"/>
        <v/>
      </c>
      <c r="CJ22" s="25" t="str">
        <f t="shared" si="22"/>
        <v/>
      </c>
      <c r="CK22" s="25">
        <f>IF(CK10=0,"",-MAX(CK10,$DK10))-0.2</f>
        <v>-0.569018990837122</v>
      </c>
      <c r="CL22" s="25">
        <f t="shared" si="22"/>
        <v>-0.85</v>
      </c>
      <c r="CM22" s="25">
        <f t="shared" si="22"/>
        <v>-0.673371481417259</v>
      </c>
      <c r="CN22" s="25">
        <f t="shared" si="22"/>
        <v>-0.849752663622527</v>
      </c>
      <c r="CO22" s="25" t="str">
        <f t="shared" si="22"/>
        <v/>
      </c>
      <c r="CP22" s="25">
        <f t="shared" si="22"/>
        <v>-0.85</v>
      </c>
      <c r="CQ22" s="25">
        <f>IF(CQ10=0,"",-MAX(CQ10,$DK10))-0.3</f>
        <v>-0.695530108447489</v>
      </c>
      <c r="CR22" s="25" t="str">
        <f t="shared" si="22"/>
        <v/>
      </c>
      <c r="CS22" s="30">
        <f>IF(CS10=0,"",-MAX(CS10,$DK10))-0.1</f>
        <v>-0.469018990837122</v>
      </c>
      <c r="CT22" s="25">
        <f t="shared" si="22"/>
        <v>-0.369018990837122</v>
      </c>
      <c r="CU22" s="25">
        <f t="shared" si="22"/>
        <v>-0.369018990837122</v>
      </c>
      <c r="CV22" s="25" t="str">
        <f t="shared" si="22"/>
        <v/>
      </c>
      <c r="CW22" s="25">
        <f t="shared" si="22"/>
        <v>-0.369018990837122</v>
      </c>
      <c r="CX22" s="25" t="str">
        <f t="shared" si="22"/>
        <v/>
      </c>
      <c r="CY22" s="25" t="str">
        <f t="shared" si="22"/>
        <v/>
      </c>
      <c r="CZ22" s="25">
        <f t="shared" si="22"/>
        <v>-0.59238227739726</v>
      </c>
      <c r="DA22" s="25" t="str">
        <f t="shared" si="22"/>
        <v/>
      </c>
      <c r="DB22" s="25" t="str">
        <f t="shared" si="22"/>
        <v/>
      </c>
      <c r="DC22" s="25">
        <f t="shared" si="22"/>
        <v>-0.484777977075474</v>
      </c>
      <c r="DD22" s="25" t="str">
        <f t="shared" si="22"/>
        <v/>
      </c>
      <c r="DE22" s="25">
        <f t="shared" si="22"/>
        <v>-0.626861244094738</v>
      </c>
      <c r="DF22" s="25" t="str">
        <f t="shared" si="22"/>
        <v/>
      </c>
      <c r="DG22" s="25" t="str">
        <f t="shared" si="22"/>
        <v/>
      </c>
      <c r="DH22" s="25">
        <f t="shared" si="22"/>
        <v>-0.369018990837122</v>
      </c>
      <c r="DI22" s="25" t="str">
        <f t="shared" si="22"/>
        <v/>
      </c>
      <c r="DJ22" s="25" t="str">
        <f t="shared" si="22"/>
        <v/>
      </c>
      <c r="DK22" s="7">
        <f t="shared" si="9"/>
        <v>0.0317097919837646</v>
      </c>
      <c r="DL22">
        <v>0</v>
      </c>
      <c r="DM22">
        <v>5</v>
      </c>
    </row>
    <row r="25" spans="2:115">
      <c r="B25" s="22" t="s">
        <v>401</v>
      </c>
      <c r="E25" s="22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</row>
    <row r="26" spans="1:120">
      <c r="A26" s="25" t="s">
        <v>57</v>
      </c>
      <c r="B26" t="s">
        <v>4</v>
      </c>
      <c r="C26" t="s">
        <v>92</v>
      </c>
      <c r="D26" t="s">
        <v>265</v>
      </c>
      <c r="E26" t="s">
        <v>77</v>
      </c>
      <c r="F26" s="25" t="str">
        <f>F15</f>
        <v>Albania</v>
      </c>
      <c r="G26" s="25" t="str">
        <f t="shared" ref="G26:BR26" si="24">G15</f>
        <v>Algeria</v>
      </c>
      <c r="H26" s="25" t="str">
        <f t="shared" si="24"/>
        <v>Angola</v>
      </c>
      <c r="I26" s="25" t="str">
        <f t="shared" si="24"/>
        <v>Argentina</v>
      </c>
      <c r="J26" s="25" t="str">
        <f t="shared" si="24"/>
        <v>Armenia</v>
      </c>
      <c r="K26" s="25" t="str">
        <f t="shared" si="24"/>
        <v>Australia</v>
      </c>
      <c r="L26" s="25" t="str">
        <f t="shared" si="24"/>
        <v>Austria</v>
      </c>
      <c r="M26" s="25" t="str">
        <f t="shared" si="24"/>
        <v>Azerbaijan</v>
      </c>
      <c r="N26" s="25" t="str">
        <f t="shared" si="24"/>
        <v>Bangladesh</v>
      </c>
      <c r="O26" s="25" t="str">
        <f t="shared" si="24"/>
        <v>Belarus</v>
      </c>
      <c r="P26" s="25" t="str">
        <f t="shared" si="24"/>
        <v>Belgium</v>
      </c>
      <c r="Q26" s="25" t="str">
        <f t="shared" si="24"/>
        <v>Bosnia_Herz</v>
      </c>
      <c r="R26" s="25" t="str">
        <f t="shared" si="24"/>
        <v>Brazil</v>
      </c>
      <c r="S26" s="25" t="str">
        <f t="shared" si="24"/>
        <v>Bulgaria</v>
      </c>
      <c r="T26" s="25" t="str">
        <f t="shared" si="24"/>
        <v>Cameroon</v>
      </c>
      <c r="U26" s="25" t="str">
        <f t="shared" si="24"/>
        <v>Canada</v>
      </c>
      <c r="V26" s="25" t="str">
        <f t="shared" si="24"/>
        <v>Chile</v>
      </c>
      <c r="W26" s="25" t="str">
        <f t="shared" si="24"/>
        <v>China</v>
      </c>
      <c r="X26" s="25" t="str">
        <f t="shared" si="24"/>
        <v>Colombia</v>
      </c>
      <c r="Y26" s="25" t="str">
        <f t="shared" si="24"/>
        <v>Croatia</v>
      </c>
      <c r="Z26" s="25" t="str">
        <f t="shared" si="24"/>
        <v>Cyprus</v>
      </c>
      <c r="AA26" s="25" t="str">
        <f t="shared" si="24"/>
        <v>Czech</v>
      </c>
      <c r="AB26" s="25" t="str">
        <f t="shared" si="24"/>
        <v>Denmark</v>
      </c>
      <c r="AC26" s="25" t="str">
        <f t="shared" si="24"/>
        <v>DR_Congo</v>
      </c>
      <c r="AD26" s="25" t="str">
        <f t="shared" si="24"/>
        <v>Egypt</v>
      </c>
      <c r="AE26" s="25" t="str">
        <f t="shared" si="24"/>
        <v>Estonia</v>
      </c>
      <c r="AF26" s="25" t="str">
        <f t="shared" si="24"/>
        <v>Ethiopia</v>
      </c>
      <c r="AG26" s="25" t="str">
        <f t="shared" si="24"/>
        <v>Finland</v>
      </c>
      <c r="AH26" s="25" t="str">
        <f t="shared" si="24"/>
        <v>France</v>
      </c>
      <c r="AI26" s="25" t="str">
        <f t="shared" si="24"/>
        <v>Georgia</v>
      </c>
      <c r="AJ26" s="25" t="str">
        <f t="shared" si="24"/>
        <v>Germany</v>
      </c>
      <c r="AK26" s="25" t="str">
        <f t="shared" si="24"/>
        <v>Ghana</v>
      </c>
      <c r="AL26" s="25" t="str">
        <f t="shared" si="24"/>
        <v>Greece</v>
      </c>
      <c r="AM26" s="25" t="str">
        <f t="shared" si="24"/>
        <v>Hungary</v>
      </c>
      <c r="AN26" s="25" t="str">
        <f t="shared" si="24"/>
        <v>Iceland</v>
      </c>
      <c r="AO26" s="25" t="str">
        <f t="shared" si="24"/>
        <v>India</v>
      </c>
      <c r="AP26" s="25" t="str">
        <f t="shared" si="24"/>
        <v>Indonesia</v>
      </c>
      <c r="AQ26" s="25" t="str">
        <f t="shared" si="24"/>
        <v>Iran</v>
      </c>
      <c r="AR26" s="25" t="str">
        <f t="shared" si="24"/>
        <v>Iraq</v>
      </c>
      <c r="AS26" s="25" t="str">
        <f t="shared" si="24"/>
        <v>Ireland</v>
      </c>
      <c r="AT26" s="25" t="str">
        <f t="shared" si="24"/>
        <v>Israel</v>
      </c>
      <c r="AU26" s="25" t="str">
        <f t="shared" si="24"/>
        <v>Italy</v>
      </c>
      <c r="AV26" s="25" t="str">
        <f t="shared" si="24"/>
        <v>IvoryCoast</v>
      </c>
      <c r="AW26" s="25" t="str">
        <f t="shared" si="24"/>
        <v>Japan</v>
      </c>
      <c r="AX26" s="25" t="str">
        <f t="shared" si="24"/>
        <v>Kazakhstan</v>
      </c>
      <c r="AY26" s="25" t="str">
        <f t="shared" si="24"/>
        <v>Kenya</v>
      </c>
      <c r="AZ26" s="25" t="str">
        <f t="shared" si="24"/>
        <v>Kosovo</v>
      </c>
      <c r="BA26" s="25" t="str">
        <f t="shared" si="24"/>
        <v>Kuwait</v>
      </c>
      <c r="BB26" s="25" t="str">
        <f t="shared" si="24"/>
        <v>Kyrgyzstan</v>
      </c>
      <c r="BC26" s="25" t="str">
        <f t="shared" si="24"/>
        <v>Latvia</v>
      </c>
      <c r="BD26" s="25" t="str">
        <f t="shared" si="24"/>
        <v>Libya</v>
      </c>
      <c r="BE26" s="25" t="str">
        <f t="shared" si="24"/>
        <v>Lithuania</v>
      </c>
      <c r="BF26" s="25" t="str">
        <f t="shared" si="24"/>
        <v>Luxembourg</v>
      </c>
      <c r="BG26" s="25" t="str">
        <f t="shared" si="24"/>
        <v>Macedonia</v>
      </c>
      <c r="BH26" s="25" t="str">
        <f t="shared" si="24"/>
        <v>Malaysia</v>
      </c>
      <c r="BI26" s="25" t="str">
        <f t="shared" si="24"/>
        <v>Malta</v>
      </c>
      <c r="BJ26" s="25" t="str">
        <f t="shared" si="24"/>
        <v>Mexico</v>
      </c>
      <c r="BK26" s="25" t="str">
        <f t="shared" si="24"/>
        <v>Moldova</v>
      </c>
      <c r="BL26" s="25" t="str">
        <f t="shared" si="24"/>
        <v>Montenegro</v>
      </c>
      <c r="BM26" s="25" t="str">
        <f t="shared" si="24"/>
        <v>Morocco</v>
      </c>
      <c r="BN26" s="25" t="str">
        <f t="shared" si="24"/>
        <v>Mozambique</v>
      </c>
      <c r="BO26" s="25" t="str">
        <f t="shared" si="24"/>
        <v>Myanmar</v>
      </c>
      <c r="BP26" s="25" t="str">
        <f t="shared" si="24"/>
        <v>Nepal</v>
      </c>
      <c r="BQ26" s="25" t="str">
        <f t="shared" si="24"/>
        <v>Netherlands</v>
      </c>
      <c r="BR26" s="25" t="str">
        <f t="shared" si="24"/>
        <v>NewZealand</v>
      </c>
      <c r="BS26" s="25" t="str">
        <f t="shared" ref="BS26:DJ26" si="25">BS15</f>
        <v>Niger</v>
      </c>
      <c r="BT26" s="25" t="str">
        <f t="shared" si="25"/>
        <v>Nigeria</v>
      </c>
      <c r="BU26" s="25" t="str">
        <f t="shared" si="25"/>
        <v>Norway</v>
      </c>
      <c r="BV26" s="25" t="str">
        <f t="shared" si="25"/>
        <v>Oman</v>
      </c>
      <c r="BW26" s="25" t="str">
        <f t="shared" si="25"/>
        <v>Other_Africa</v>
      </c>
      <c r="BX26" s="25" t="str">
        <f t="shared" si="25"/>
        <v>Other_AsiaEm</v>
      </c>
      <c r="BY26" s="25" t="str">
        <f t="shared" si="25"/>
        <v>Other_EurDev</v>
      </c>
      <c r="BZ26" s="25" t="str">
        <f t="shared" si="25"/>
        <v>Other_LatAm</v>
      </c>
      <c r="CA26" s="25" t="str">
        <f t="shared" si="25"/>
        <v>Other_MidEast</v>
      </c>
      <c r="CB26" s="25" t="str">
        <f t="shared" si="25"/>
        <v>Pakistan</v>
      </c>
      <c r="CC26" s="25" t="str">
        <f t="shared" si="25"/>
        <v>Peru</v>
      </c>
      <c r="CD26" s="25" t="str">
        <f t="shared" si="25"/>
        <v>Philippines</v>
      </c>
      <c r="CE26" s="25" t="str">
        <f t="shared" si="25"/>
        <v>Poland</v>
      </c>
      <c r="CF26" s="25" t="str">
        <f t="shared" si="25"/>
        <v>Portugal</v>
      </c>
      <c r="CG26" s="25" t="str">
        <f t="shared" si="25"/>
        <v>Qatar</v>
      </c>
      <c r="CH26" s="25" t="str">
        <f t="shared" si="25"/>
        <v>Romania</v>
      </c>
      <c r="CI26" s="25" t="str">
        <f t="shared" si="25"/>
        <v>Russia</v>
      </c>
      <c r="CJ26" s="25" t="str">
        <f t="shared" si="25"/>
        <v>SaudiArabia</v>
      </c>
      <c r="CK26" s="25" t="str">
        <f t="shared" si="25"/>
        <v>Serbia</v>
      </c>
      <c r="CL26" s="25" t="str">
        <f t="shared" si="25"/>
        <v>Singapore</v>
      </c>
      <c r="CM26" s="25" t="str">
        <f t="shared" si="25"/>
        <v>Slovak</v>
      </c>
      <c r="CN26" s="25" t="str">
        <f t="shared" si="25"/>
        <v>Slovenia</v>
      </c>
      <c r="CO26" s="25" t="str">
        <f t="shared" si="25"/>
        <v>SouthAfrica</v>
      </c>
      <c r="CP26" s="25" t="str">
        <f t="shared" si="25"/>
        <v>SouthKorea</v>
      </c>
      <c r="CQ26" s="25" t="str">
        <f t="shared" si="25"/>
        <v>Spain</v>
      </c>
      <c r="CR26" s="25" t="str">
        <f t="shared" si="25"/>
        <v>Sudan</v>
      </c>
      <c r="CS26" s="25" t="str">
        <f t="shared" si="25"/>
        <v>Sweden</v>
      </c>
      <c r="CT26" s="25" t="str">
        <f t="shared" si="25"/>
        <v>Switzerland</v>
      </c>
      <c r="CU26" s="25" t="str">
        <f t="shared" si="25"/>
        <v>Taiwan</v>
      </c>
      <c r="CV26" s="25" t="str">
        <f t="shared" si="25"/>
        <v>Tajikistan</v>
      </c>
      <c r="CW26" s="25" t="str">
        <f t="shared" si="25"/>
        <v>Tanzania</v>
      </c>
      <c r="CX26" s="25" t="str">
        <f t="shared" si="25"/>
        <v>Thailand</v>
      </c>
      <c r="CY26" s="25" t="str">
        <f t="shared" si="25"/>
        <v>Tunisia</v>
      </c>
      <c r="CZ26" s="25" t="str">
        <f t="shared" si="25"/>
        <v>Turkey</v>
      </c>
      <c r="DA26" s="25" t="str">
        <f t="shared" si="25"/>
        <v>Turkmenistan</v>
      </c>
      <c r="DB26" s="25" t="str">
        <f t="shared" si="25"/>
        <v>UAE</v>
      </c>
      <c r="DC26" s="25" t="str">
        <f t="shared" si="25"/>
        <v>UK</v>
      </c>
      <c r="DD26" s="25" t="str">
        <f t="shared" si="25"/>
        <v>Ukraine</v>
      </c>
      <c r="DE26" s="25" t="str">
        <f t="shared" si="25"/>
        <v>USA</v>
      </c>
      <c r="DF26" s="25" t="str">
        <f t="shared" si="25"/>
        <v>Uzbekistan</v>
      </c>
      <c r="DG26" s="25" t="str">
        <f t="shared" si="25"/>
        <v>Venezuela</v>
      </c>
      <c r="DH26" s="25" t="str">
        <f t="shared" si="25"/>
        <v>Vietnam</v>
      </c>
      <c r="DI26" s="25" t="str">
        <f t="shared" si="25"/>
        <v>Yemen</v>
      </c>
      <c r="DJ26" s="25" t="str">
        <f t="shared" si="25"/>
        <v>Zambia</v>
      </c>
      <c r="DK26" s="25" t="s">
        <v>467</v>
      </c>
      <c r="DL26" s="25" t="s">
        <v>402</v>
      </c>
      <c r="DM26" s="25" t="s">
        <v>42</v>
      </c>
      <c r="DP26" s="32" t="s">
        <v>469</v>
      </c>
    </row>
    <row r="27" spans="1:117">
      <c r="A27">
        <v>2030</v>
      </c>
      <c r="B27" t="s">
        <v>470</v>
      </c>
      <c r="C27" t="s">
        <v>404</v>
      </c>
      <c r="D27" t="str">
        <f>D16</f>
        <v>???COB</v>
      </c>
      <c r="E27" s="51" t="s">
        <v>468</v>
      </c>
      <c r="F27" s="25">
        <f>-MAX(F15,$DK15)</f>
        <v>0</v>
      </c>
      <c r="G27" s="25">
        <f t="shared" ref="G27:BR27" si="26">-MAX(G15,$DK15)</f>
        <v>0</v>
      </c>
      <c r="H27" s="25">
        <f t="shared" si="26"/>
        <v>0</v>
      </c>
      <c r="I27" s="25">
        <f t="shared" si="26"/>
        <v>0</v>
      </c>
      <c r="J27" s="25">
        <f t="shared" si="26"/>
        <v>0</v>
      </c>
      <c r="K27" s="25">
        <f t="shared" si="26"/>
        <v>0</v>
      </c>
      <c r="L27" s="25">
        <f t="shared" si="26"/>
        <v>0</v>
      </c>
      <c r="M27" s="25">
        <f t="shared" si="26"/>
        <v>0</v>
      </c>
      <c r="N27" s="25">
        <f t="shared" si="26"/>
        <v>0</v>
      </c>
      <c r="O27" s="25">
        <f t="shared" si="26"/>
        <v>0</v>
      </c>
      <c r="P27" s="25">
        <f t="shared" si="26"/>
        <v>0</v>
      </c>
      <c r="Q27" s="25">
        <f t="shared" si="26"/>
        <v>0</v>
      </c>
      <c r="R27" s="25">
        <f t="shared" si="26"/>
        <v>0</v>
      </c>
      <c r="S27" s="25">
        <f t="shared" si="26"/>
        <v>0</v>
      </c>
      <c r="T27" s="25">
        <f t="shared" si="26"/>
        <v>0</v>
      </c>
      <c r="U27" s="25">
        <f t="shared" si="26"/>
        <v>0</v>
      </c>
      <c r="V27" s="25">
        <f t="shared" si="26"/>
        <v>0</v>
      </c>
      <c r="W27" s="25">
        <f t="shared" si="26"/>
        <v>0</v>
      </c>
      <c r="X27" s="25">
        <f t="shared" si="26"/>
        <v>0</v>
      </c>
      <c r="Y27" s="25">
        <f t="shared" si="26"/>
        <v>0</v>
      </c>
      <c r="Z27" s="25">
        <f t="shared" si="26"/>
        <v>0</v>
      </c>
      <c r="AA27" s="25">
        <f t="shared" si="26"/>
        <v>0</v>
      </c>
      <c r="AB27" s="25">
        <f t="shared" si="26"/>
        <v>0</v>
      </c>
      <c r="AC27" s="25">
        <f t="shared" si="26"/>
        <v>0</v>
      </c>
      <c r="AD27" s="25">
        <f t="shared" si="26"/>
        <v>0</v>
      </c>
      <c r="AE27" s="25">
        <f t="shared" si="26"/>
        <v>0</v>
      </c>
      <c r="AF27" s="25">
        <f t="shared" si="26"/>
        <v>0</v>
      </c>
      <c r="AG27" s="25">
        <f t="shared" si="26"/>
        <v>0</v>
      </c>
      <c r="AH27" s="25">
        <f t="shared" si="26"/>
        <v>0</v>
      </c>
      <c r="AI27" s="25">
        <f t="shared" si="26"/>
        <v>0</v>
      </c>
      <c r="AJ27" s="25">
        <f t="shared" si="26"/>
        <v>0</v>
      </c>
      <c r="AK27" s="25">
        <f t="shared" si="26"/>
        <v>0</v>
      </c>
      <c r="AL27" s="25">
        <f t="shared" si="26"/>
        <v>0</v>
      </c>
      <c r="AM27" s="25">
        <f t="shared" si="26"/>
        <v>0</v>
      </c>
      <c r="AN27" s="25">
        <f t="shared" si="26"/>
        <v>0</v>
      </c>
      <c r="AO27" s="25">
        <f t="shared" si="26"/>
        <v>0</v>
      </c>
      <c r="AP27" s="25">
        <f t="shared" si="26"/>
        <v>0</v>
      </c>
      <c r="AQ27" s="25">
        <f t="shared" si="26"/>
        <v>0</v>
      </c>
      <c r="AR27" s="25">
        <f t="shared" si="26"/>
        <v>0</v>
      </c>
      <c r="AS27" s="25">
        <f t="shared" si="26"/>
        <v>0</v>
      </c>
      <c r="AT27" s="25">
        <f t="shared" si="26"/>
        <v>0</v>
      </c>
      <c r="AU27" s="25">
        <f t="shared" si="26"/>
        <v>0</v>
      </c>
      <c r="AV27" s="25">
        <f t="shared" si="26"/>
        <v>0</v>
      </c>
      <c r="AW27" s="25">
        <f t="shared" si="26"/>
        <v>0</v>
      </c>
      <c r="AX27" s="25">
        <f t="shared" si="26"/>
        <v>0</v>
      </c>
      <c r="AY27" s="25">
        <f t="shared" si="26"/>
        <v>0</v>
      </c>
      <c r="AZ27" s="25">
        <f t="shared" si="26"/>
        <v>0</v>
      </c>
      <c r="BA27" s="25">
        <f t="shared" si="26"/>
        <v>0</v>
      </c>
      <c r="BB27" s="25">
        <f t="shared" si="26"/>
        <v>0</v>
      </c>
      <c r="BC27" s="25">
        <f t="shared" si="26"/>
        <v>0</v>
      </c>
      <c r="BD27" s="25">
        <f t="shared" si="26"/>
        <v>0</v>
      </c>
      <c r="BE27" s="25">
        <f t="shared" si="26"/>
        <v>0</v>
      </c>
      <c r="BF27" s="25">
        <f t="shared" si="26"/>
        <v>0</v>
      </c>
      <c r="BG27" s="25">
        <f t="shared" si="26"/>
        <v>0</v>
      </c>
      <c r="BH27" s="25">
        <f t="shared" si="26"/>
        <v>0</v>
      </c>
      <c r="BI27" s="25">
        <f t="shared" si="26"/>
        <v>0</v>
      </c>
      <c r="BJ27" s="25">
        <f t="shared" si="26"/>
        <v>0</v>
      </c>
      <c r="BK27" s="25">
        <f t="shared" si="26"/>
        <v>0</v>
      </c>
      <c r="BL27" s="25">
        <f t="shared" si="26"/>
        <v>0</v>
      </c>
      <c r="BM27" s="25">
        <f t="shared" si="26"/>
        <v>0</v>
      </c>
      <c r="BN27" s="25">
        <f t="shared" si="26"/>
        <v>0</v>
      </c>
      <c r="BO27" s="25">
        <f t="shared" si="26"/>
        <v>0</v>
      </c>
      <c r="BP27" s="25">
        <f t="shared" si="26"/>
        <v>0</v>
      </c>
      <c r="BQ27" s="25">
        <f t="shared" si="26"/>
        <v>0</v>
      </c>
      <c r="BR27" s="25">
        <f t="shared" si="26"/>
        <v>0</v>
      </c>
      <c r="BS27" s="25">
        <f t="shared" ref="BS27:DJ27" si="27">-MAX(BS15,$DK15)</f>
        <v>0</v>
      </c>
      <c r="BT27" s="25">
        <f t="shared" si="27"/>
        <v>0</v>
      </c>
      <c r="BU27" s="25">
        <f t="shared" si="27"/>
        <v>0</v>
      </c>
      <c r="BV27" s="25">
        <f t="shared" si="27"/>
        <v>0</v>
      </c>
      <c r="BW27" s="25">
        <f t="shared" si="27"/>
        <v>0</v>
      </c>
      <c r="BX27" s="25">
        <f t="shared" si="27"/>
        <v>0</v>
      </c>
      <c r="BY27" s="25">
        <f t="shared" si="27"/>
        <v>0</v>
      </c>
      <c r="BZ27" s="25">
        <f t="shared" si="27"/>
        <v>0</v>
      </c>
      <c r="CA27" s="25">
        <f t="shared" si="27"/>
        <v>0</v>
      </c>
      <c r="CB27" s="25">
        <f t="shared" si="27"/>
        <v>0</v>
      </c>
      <c r="CC27" s="25">
        <f t="shared" si="27"/>
        <v>0</v>
      </c>
      <c r="CD27" s="25">
        <f t="shared" si="27"/>
        <v>0</v>
      </c>
      <c r="CE27" s="25">
        <f t="shared" si="27"/>
        <v>0</v>
      </c>
      <c r="CF27" s="25">
        <f t="shared" si="27"/>
        <v>0</v>
      </c>
      <c r="CG27" s="25">
        <f t="shared" si="27"/>
        <v>0</v>
      </c>
      <c r="CH27" s="25">
        <f t="shared" si="27"/>
        <v>0</v>
      </c>
      <c r="CI27" s="25">
        <f t="shared" si="27"/>
        <v>0</v>
      </c>
      <c r="CJ27" s="25">
        <f t="shared" si="27"/>
        <v>0</v>
      </c>
      <c r="CK27" s="25">
        <f t="shared" si="27"/>
        <v>0</v>
      </c>
      <c r="CL27" s="25">
        <f t="shared" si="27"/>
        <v>0</v>
      </c>
      <c r="CM27" s="25">
        <f t="shared" si="27"/>
        <v>0</v>
      </c>
      <c r="CN27" s="25">
        <f t="shared" si="27"/>
        <v>0</v>
      </c>
      <c r="CO27" s="25">
        <f t="shared" si="27"/>
        <v>0</v>
      </c>
      <c r="CP27" s="25">
        <f t="shared" si="27"/>
        <v>0</v>
      </c>
      <c r="CQ27" s="25">
        <f t="shared" si="27"/>
        <v>0</v>
      </c>
      <c r="CR27" s="25">
        <f t="shared" si="27"/>
        <v>0</v>
      </c>
      <c r="CS27" s="25">
        <f t="shared" si="27"/>
        <v>0</v>
      </c>
      <c r="CT27" s="25">
        <f t="shared" si="27"/>
        <v>0</v>
      </c>
      <c r="CU27" s="25">
        <f t="shared" si="27"/>
        <v>0</v>
      </c>
      <c r="CV27" s="25">
        <f t="shared" si="27"/>
        <v>0</v>
      </c>
      <c r="CW27" s="25">
        <f t="shared" si="27"/>
        <v>0</v>
      </c>
      <c r="CX27" s="25">
        <f t="shared" si="27"/>
        <v>0</v>
      </c>
      <c r="CY27" s="25">
        <f t="shared" si="27"/>
        <v>0</v>
      </c>
      <c r="CZ27" s="25">
        <f t="shared" si="27"/>
        <v>0</v>
      </c>
      <c r="DA27" s="25">
        <f t="shared" si="27"/>
        <v>0</v>
      </c>
      <c r="DB27" s="25">
        <f t="shared" si="27"/>
        <v>0</v>
      </c>
      <c r="DC27" s="25">
        <f t="shared" si="27"/>
        <v>0</v>
      </c>
      <c r="DD27" s="25">
        <f t="shared" si="27"/>
        <v>0</v>
      </c>
      <c r="DE27" s="25">
        <f t="shared" si="27"/>
        <v>0</v>
      </c>
      <c r="DF27" s="25">
        <f t="shared" si="27"/>
        <v>0</v>
      </c>
      <c r="DG27" s="25">
        <f t="shared" si="27"/>
        <v>0</v>
      </c>
      <c r="DH27" s="25">
        <f t="shared" si="27"/>
        <v>0</v>
      </c>
      <c r="DI27" s="25">
        <f t="shared" si="27"/>
        <v>0</v>
      </c>
      <c r="DJ27" s="25">
        <f t="shared" si="27"/>
        <v>0</v>
      </c>
      <c r="DK27" s="7">
        <f>1/31.536</f>
        <v>0.0317097919837646</v>
      </c>
      <c r="DL27">
        <v>0</v>
      </c>
      <c r="DM27">
        <v>5</v>
      </c>
    </row>
    <row r="28" spans="1:117">
      <c r="A28">
        <v>2030</v>
      </c>
      <c r="B28" t="s">
        <v>470</v>
      </c>
      <c r="C28" t="s">
        <v>404</v>
      </c>
      <c r="D28" t="str">
        <f t="shared" ref="D28:D33" si="28">D17</f>
        <v>???COA</v>
      </c>
      <c r="E28" s="51" t="s">
        <v>468</v>
      </c>
      <c r="F28" s="25">
        <f>-MAX(F16,$DK16)</f>
        <v>-0.0317097919837646</v>
      </c>
      <c r="G28" s="25">
        <f t="shared" ref="G28:BR28" si="29">-MAX(G16,$DK16)</f>
        <v>-0.0317097919837646</v>
      </c>
      <c r="H28" s="25">
        <f t="shared" si="29"/>
        <v>-0.0317097919837646</v>
      </c>
      <c r="I28" s="25">
        <f t="shared" si="29"/>
        <v>-0.0317097919837646</v>
      </c>
      <c r="J28" s="25">
        <f t="shared" si="29"/>
        <v>-0.0317097919837646</v>
      </c>
      <c r="K28" s="25">
        <f t="shared" si="29"/>
        <v>-0.0317097919837646</v>
      </c>
      <c r="L28" s="25">
        <f t="shared" si="29"/>
        <v>-0.0317097919837646</v>
      </c>
      <c r="M28" s="25">
        <f t="shared" si="29"/>
        <v>-0.0317097919837646</v>
      </c>
      <c r="N28" s="25">
        <f t="shared" si="29"/>
        <v>-0.0317097919837646</v>
      </c>
      <c r="O28" s="25">
        <f t="shared" si="29"/>
        <v>-0.0317097919837646</v>
      </c>
      <c r="P28" s="25">
        <f t="shared" si="29"/>
        <v>-0.0317097919837646</v>
      </c>
      <c r="Q28" s="25">
        <f t="shared" si="29"/>
        <v>-0.0317097919837646</v>
      </c>
      <c r="R28" s="25">
        <f t="shared" si="29"/>
        <v>-0.0317097919837646</v>
      </c>
      <c r="S28" s="25">
        <f t="shared" si="29"/>
        <v>-0.0317097919837646</v>
      </c>
      <c r="T28" s="25">
        <f t="shared" si="29"/>
        <v>-0.0317097919837646</v>
      </c>
      <c r="U28" s="25">
        <f t="shared" si="29"/>
        <v>-0.0317097919837646</v>
      </c>
      <c r="V28" s="25">
        <f t="shared" si="29"/>
        <v>-0.0317097919837646</v>
      </c>
      <c r="W28" s="25">
        <f t="shared" si="29"/>
        <v>-0.0317097919837646</v>
      </c>
      <c r="X28" s="25">
        <f t="shared" si="29"/>
        <v>-0.0317097919837646</v>
      </c>
      <c r="Y28" s="25">
        <f t="shared" si="29"/>
        <v>-0.0317097919837646</v>
      </c>
      <c r="Z28" s="25">
        <f t="shared" si="29"/>
        <v>-0.0317097919837646</v>
      </c>
      <c r="AA28" s="25">
        <f t="shared" si="29"/>
        <v>-0.0317097919837646</v>
      </c>
      <c r="AB28" s="25">
        <f t="shared" si="29"/>
        <v>-0.0317097919837646</v>
      </c>
      <c r="AC28" s="25">
        <f t="shared" si="29"/>
        <v>-0.0317097919837646</v>
      </c>
      <c r="AD28" s="25">
        <f t="shared" si="29"/>
        <v>-0.0317097919837646</v>
      </c>
      <c r="AE28" s="25">
        <f t="shared" si="29"/>
        <v>-0.0317097919837646</v>
      </c>
      <c r="AF28" s="25">
        <f t="shared" si="29"/>
        <v>-0.0317097919837646</v>
      </c>
      <c r="AG28" s="25">
        <f t="shared" si="29"/>
        <v>-0.0317097919837646</v>
      </c>
      <c r="AH28" s="25">
        <f t="shared" si="29"/>
        <v>-0.0317097919837646</v>
      </c>
      <c r="AI28" s="25">
        <f t="shared" si="29"/>
        <v>-0.0317097919837646</v>
      </c>
      <c r="AJ28" s="25">
        <f t="shared" si="29"/>
        <v>-0.0317097919837646</v>
      </c>
      <c r="AK28" s="25">
        <f t="shared" si="29"/>
        <v>-0.0317097919837646</v>
      </c>
      <c r="AL28" s="25">
        <f t="shared" si="29"/>
        <v>-0.0317097919837646</v>
      </c>
      <c r="AM28" s="25">
        <f t="shared" si="29"/>
        <v>-0.0317097919837646</v>
      </c>
      <c r="AN28" s="25">
        <f t="shared" si="29"/>
        <v>-0.0317097919837646</v>
      </c>
      <c r="AO28" s="25">
        <f t="shared" si="29"/>
        <v>-0.0317097919837646</v>
      </c>
      <c r="AP28" s="25">
        <f t="shared" si="29"/>
        <v>-0.0317097919837646</v>
      </c>
      <c r="AQ28" s="25">
        <f t="shared" si="29"/>
        <v>-0.0317097919837646</v>
      </c>
      <c r="AR28" s="25">
        <f t="shared" si="29"/>
        <v>-0.0317097919837646</v>
      </c>
      <c r="AS28" s="25">
        <f t="shared" si="29"/>
        <v>-0.0317097919837646</v>
      </c>
      <c r="AT28" s="25">
        <f t="shared" si="29"/>
        <v>-0.0317097919837646</v>
      </c>
      <c r="AU28" s="25">
        <f t="shared" si="29"/>
        <v>-0.0317097919837646</v>
      </c>
      <c r="AV28" s="25">
        <f t="shared" si="29"/>
        <v>-0.0317097919837646</v>
      </c>
      <c r="AW28" s="25">
        <f t="shared" si="29"/>
        <v>-0.0317097919837646</v>
      </c>
      <c r="AX28" s="25">
        <f t="shared" si="29"/>
        <v>-0.0317097919837646</v>
      </c>
      <c r="AY28" s="25">
        <f t="shared" si="29"/>
        <v>-0.0317097919837646</v>
      </c>
      <c r="AZ28" s="25">
        <f t="shared" si="29"/>
        <v>-0.0317097919837646</v>
      </c>
      <c r="BA28" s="25">
        <f t="shared" si="29"/>
        <v>-0.0317097919837646</v>
      </c>
      <c r="BB28" s="25">
        <f t="shared" si="29"/>
        <v>-0.0317097919837646</v>
      </c>
      <c r="BC28" s="25">
        <f t="shared" si="29"/>
        <v>-0.0317097919837646</v>
      </c>
      <c r="BD28" s="25">
        <f t="shared" si="29"/>
        <v>-0.0317097919837646</v>
      </c>
      <c r="BE28" s="25">
        <f t="shared" si="29"/>
        <v>-0.0317097919837646</v>
      </c>
      <c r="BF28" s="25">
        <f t="shared" si="29"/>
        <v>-0.0317097919837646</v>
      </c>
      <c r="BG28" s="25">
        <f t="shared" si="29"/>
        <v>-0.0317097919837646</v>
      </c>
      <c r="BH28" s="25">
        <f t="shared" si="29"/>
        <v>-0.0317097919837646</v>
      </c>
      <c r="BI28" s="25">
        <f t="shared" si="29"/>
        <v>-0.0317097919837646</v>
      </c>
      <c r="BJ28" s="25">
        <f t="shared" si="29"/>
        <v>-0.0317097919837646</v>
      </c>
      <c r="BK28" s="25">
        <f t="shared" si="29"/>
        <v>-0.0317097919837646</v>
      </c>
      <c r="BL28" s="25">
        <f t="shared" si="29"/>
        <v>-0.0317097919837646</v>
      </c>
      <c r="BM28" s="25">
        <f t="shared" si="29"/>
        <v>-0.0317097919837646</v>
      </c>
      <c r="BN28" s="25">
        <f t="shared" si="29"/>
        <v>-0.0317097919837646</v>
      </c>
      <c r="BO28" s="25">
        <f t="shared" si="29"/>
        <v>-0.0317097919837646</v>
      </c>
      <c r="BP28" s="25">
        <f t="shared" si="29"/>
        <v>-0.0317097919837646</v>
      </c>
      <c r="BQ28" s="25">
        <f t="shared" si="29"/>
        <v>-0.0317097919837646</v>
      </c>
      <c r="BR28" s="25">
        <f t="shared" si="29"/>
        <v>-0.0317097919837646</v>
      </c>
      <c r="BS28" s="25">
        <f t="shared" ref="BS28:DJ28" si="30">-MAX(BS16,$DK16)</f>
        <v>-0.0317097919837646</v>
      </c>
      <c r="BT28" s="25">
        <f t="shared" si="30"/>
        <v>-0.0317097919837646</v>
      </c>
      <c r="BU28" s="25">
        <f t="shared" si="30"/>
        <v>-0.0317097919837646</v>
      </c>
      <c r="BV28" s="25">
        <f t="shared" si="30"/>
        <v>-0.0317097919837646</v>
      </c>
      <c r="BW28" s="25">
        <f t="shared" si="30"/>
        <v>-0.0317097919837646</v>
      </c>
      <c r="BX28" s="25">
        <f t="shared" si="30"/>
        <v>-0.0317097919837646</v>
      </c>
      <c r="BY28" s="25">
        <f t="shared" si="30"/>
        <v>-0.0317097919837646</v>
      </c>
      <c r="BZ28" s="25">
        <f t="shared" si="30"/>
        <v>-0.0317097919837646</v>
      </c>
      <c r="CA28" s="25">
        <f t="shared" si="30"/>
        <v>-0.0317097919837646</v>
      </c>
      <c r="CB28" s="25">
        <f t="shared" si="30"/>
        <v>-0.0317097919837646</v>
      </c>
      <c r="CC28" s="25">
        <f t="shared" si="30"/>
        <v>-0.0317097919837646</v>
      </c>
      <c r="CD28" s="25">
        <f t="shared" si="30"/>
        <v>-0.0317097919837646</v>
      </c>
      <c r="CE28" s="25">
        <f t="shared" si="30"/>
        <v>-0.0317097919837646</v>
      </c>
      <c r="CF28" s="25">
        <f t="shared" si="30"/>
        <v>-0.0317097919837646</v>
      </c>
      <c r="CG28" s="25">
        <f t="shared" si="30"/>
        <v>-0.0317097919837646</v>
      </c>
      <c r="CH28" s="25">
        <f t="shared" si="30"/>
        <v>-0.0317097919837646</v>
      </c>
      <c r="CI28" s="25">
        <f t="shared" si="30"/>
        <v>-0.0317097919837646</v>
      </c>
      <c r="CJ28" s="25">
        <f t="shared" si="30"/>
        <v>-0.0317097919837646</v>
      </c>
      <c r="CK28" s="25">
        <f t="shared" si="30"/>
        <v>-0.0317097919837646</v>
      </c>
      <c r="CL28" s="25">
        <f t="shared" si="30"/>
        <v>-0.0317097919837646</v>
      </c>
      <c r="CM28" s="25">
        <f t="shared" si="30"/>
        <v>-0.0317097919837646</v>
      </c>
      <c r="CN28" s="25">
        <f t="shared" si="30"/>
        <v>-0.0317097919837646</v>
      </c>
      <c r="CO28" s="25">
        <f t="shared" si="30"/>
        <v>-0.0317097919837646</v>
      </c>
      <c r="CP28" s="25">
        <f t="shared" si="30"/>
        <v>-0.0317097919837646</v>
      </c>
      <c r="CQ28" s="25">
        <f t="shared" si="30"/>
        <v>-0.0317097919837646</v>
      </c>
      <c r="CR28" s="25">
        <f t="shared" si="30"/>
        <v>-0.0317097919837646</v>
      </c>
      <c r="CS28" s="25">
        <f t="shared" si="30"/>
        <v>-0.0317097919837646</v>
      </c>
      <c r="CT28" s="25">
        <f t="shared" si="30"/>
        <v>-0.0317097919837646</v>
      </c>
      <c r="CU28" s="25">
        <f t="shared" si="30"/>
        <v>-0.0317097919837646</v>
      </c>
      <c r="CV28" s="25">
        <f t="shared" si="30"/>
        <v>-0.0317097919837646</v>
      </c>
      <c r="CW28" s="25">
        <f t="shared" si="30"/>
        <v>-0.0317097919837646</v>
      </c>
      <c r="CX28" s="25">
        <f t="shared" si="30"/>
        <v>-0.0317097919837646</v>
      </c>
      <c r="CY28" s="25">
        <f t="shared" si="30"/>
        <v>-0.0317097919837646</v>
      </c>
      <c r="CZ28" s="25">
        <f t="shared" si="30"/>
        <v>-0.0317097919837646</v>
      </c>
      <c r="DA28" s="25">
        <f t="shared" si="30"/>
        <v>-0.0317097919837646</v>
      </c>
      <c r="DB28" s="25">
        <f t="shared" si="30"/>
        <v>-0.0317097919837646</v>
      </c>
      <c r="DC28" s="25">
        <f t="shared" si="30"/>
        <v>-0.0317097919837646</v>
      </c>
      <c r="DD28" s="25">
        <f t="shared" si="30"/>
        <v>-0.0317097919837646</v>
      </c>
      <c r="DE28" s="25">
        <f t="shared" si="30"/>
        <v>-0.0317097919837646</v>
      </c>
      <c r="DF28" s="25">
        <f t="shared" si="30"/>
        <v>-0.0317097919837646</v>
      </c>
      <c r="DG28" s="25">
        <f t="shared" si="30"/>
        <v>-0.0317097919837646</v>
      </c>
      <c r="DH28" s="25">
        <f t="shared" si="30"/>
        <v>-0.0317097919837646</v>
      </c>
      <c r="DI28" s="25">
        <f t="shared" si="30"/>
        <v>-0.0317097919837646</v>
      </c>
      <c r="DJ28" s="25">
        <f t="shared" si="30"/>
        <v>-0.0317097919837646</v>
      </c>
      <c r="DK28" s="7">
        <f t="shared" ref="DK28:DK33" si="31">1/31.536</f>
        <v>0.0317097919837646</v>
      </c>
      <c r="DL28">
        <v>0</v>
      </c>
      <c r="DM28">
        <v>5</v>
      </c>
    </row>
    <row r="29" spans="1:117">
      <c r="A29">
        <v>2030</v>
      </c>
      <c r="B29" t="str">
        <f t="shared" ref="B29:B33" si="32">B18</f>
        <v>UCE_utilization_NGA_UP</v>
      </c>
      <c r="C29" t="s">
        <v>404</v>
      </c>
      <c r="D29" t="str">
        <f t="shared" si="28"/>
        <v>???NGA</v>
      </c>
      <c r="E29" s="51" t="s">
        <v>468</v>
      </c>
      <c r="F29" s="28">
        <f>MIN($F18:$DJ18)</f>
        <v>-0.89359488363634</v>
      </c>
      <c r="G29" s="28">
        <f t="shared" ref="G29:BR29" si="33">MIN($F18:$DJ18)</f>
        <v>-0.89359488363634</v>
      </c>
      <c r="H29" s="28">
        <f t="shared" si="33"/>
        <v>-0.89359488363634</v>
      </c>
      <c r="I29" s="28">
        <f t="shared" si="33"/>
        <v>-0.89359488363634</v>
      </c>
      <c r="J29" s="28">
        <f t="shared" si="33"/>
        <v>-0.89359488363634</v>
      </c>
      <c r="K29" s="28">
        <f t="shared" si="33"/>
        <v>-0.89359488363634</v>
      </c>
      <c r="L29" s="28">
        <f t="shared" si="33"/>
        <v>-0.89359488363634</v>
      </c>
      <c r="M29" s="28">
        <f t="shared" si="33"/>
        <v>-0.89359488363634</v>
      </c>
      <c r="N29" s="28">
        <f t="shared" si="33"/>
        <v>-0.89359488363634</v>
      </c>
      <c r="O29" s="28">
        <f t="shared" si="33"/>
        <v>-0.89359488363634</v>
      </c>
      <c r="P29" s="28">
        <f t="shared" si="33"/>
        <v>-0.89359488363634</v>
      </c>
      <c r="Q29" s="28">
        <f t="shared" si="33"/>
        <v>-0.89359488363634</v>
      </c>
      <c r="R29" s="28">
        <f t="shared" si="33"/>
        <v>-0.89359488363634</v>
      </c>
      <c r="S29" s="28">
        <f t="shared" si="33"/>
        <v>-0.89359488363634</v>
      </c>
      <c r="T29" s="28">
        <f t="shared" si="33"/>
        <v>-0.89359488363634</v>
      </c>
      <c r="U29" s="28">
        <f t="shared" si="33"/>
        <v>-0.89359488363634</v>
      </c>
      <c r="V29" s="28">
        <f t="shared" si="33"/>
        <v>-0.89359488363634</v>
      </c>
      <c r="W29" s="28">
        <f t="shared" si="33"/>
        <v>-0.89359488363634</v>
      </c>
      <c r="X29" s="28">
        <f t="shared" si="33"/>
        <v>-0.89359488363634</v>
      </c>
      <c r="Y29" s="28">
        <f t="shared" si="33"/>
        <v>-0.89359488363634</v>
      </c>
      <c r="Z29" s="28">
        <f t="shared" si="33"/>
        <v>-0.89359488363634</v>
      </c>
      <c r="AA29" s="28">
        <f t="shared" si="33"/>
        <v>-0.89359488363634</v>
      </c>
      <c r="AB29" s="28">
        <f t="shared" si="33"/>
        <v>-0.89359488363634</v>
      </c>
      <c r="AC29" s="28">
        <f t="shared" si="33"/>
        <v>-0.89359488363634</v>
      </c>
      <c r="AD29" s="28">
        <f t="shared" si="33"/>
        <v>-0.89359488363634</v>
      </c>
      <c r="AE29" s="28">
        <f t="shared" si="33"/>
        <v>-0.89359488363634</v>
      </c>
      <c r="AF29" s="28">
        <f t="shared" si="33"/>
        <v>-0.89359488363634</v>
      </c>
      <c r="AG29" s="28">
        <f t="shared" si="33"/>
        <v>-0.89359488363634</v>
      </c>
      <c r="AH29" s="28">
        <f t="shared" si="33"/>
        <v>-0.89359488363634</v>
      </c>
      <c r="AI29" s="28">
        <f t="shared" si="33"/>
        <v>-0.89359488363634</v>
      </c>
      <c r="AJ29" s="28">
        <f t="shared" si="33"/>
        <v>-0.89359488363634</v>
      </c>
      <c r="AK29" s="28">
        <f t="shared" si="33"/>
        <v>-0.89359488363634</v>
      </c>
      <c r="AL29" s="28">
        <f t="shared" si="33"/>
        <v>-0.89359488363634</v>
      </c>
      <c r="AM29" s="28">
        <f t="shared" si="33"/>
        <v>-0.89359488363634</v>
      </c>
      <c r="AN29" s="28">
        <f t="shared" si="33"/>
        <v>-0.89359488363634</v>
      </c>
      <c r="AO29" s="28">
        <f t="shared" si="33"/>
        <v>-0.89359488363634</v>
      </c>
      <c r="AP29" s="28">
        <f t="shared" si="33"/>
        <v>-0.89359488363634</v>
      </c>
      <c r="AQ29" s="28">
        <f t="shared" si="33"/>
        <v>-0.89359488363634</v>
      </c>
      <c r="AR29" s="28">
        <f t="shared" si="33"/>
        <v>-0.89359488363634</v>
      </c>
      <c r="AS29" s="28">
        <f t="shared" si="33"/>
        <v>-0.89359488363634</v>
      </c>
      <c r="AT29" s="28">
        <f t="shared" si="33"/>
        <v>-0.89359488363634</v>
      </c>
      <c r="AU29" s="28">
        <f t="shared" si="33"/>
        <v>-0.89359488363634</v>
      </c>
      <c r="AV29" s="28">
        <f t="shared" si="33"/>
        <v>-0.89359488363634</v>
      </c>
      <c r="AW29" s="28">
        <f t="shared" si="33"/>
        <v>-0.89359488363634</v>
      </c>
      <c r="AX29" s="28">
        <f t="shared" si="33"/>
        <v>-0.89359488363634</v>
      </c>
      <c r="AY29" s="28">
        <f t="shared" si="33"/>
        <v>-0.89359488363634</v>
      </c>
      <c r="AZ29" s="28">
        <f t="shared" si="33"/>
        <v>-0.89359488363634</v>
      </c>
      <c r="BA29" s="28">
        <f t="shared" si="33"/>
        <v>-0.89359488363634</v>
      </c>
      <c r="BB29" s="28">
        <f t="shared" si="33"/>
        <v>-0.89359488363634</v>
      </c>
      <c r="BC29" s="28">
        <f t="shared" si="33"/>
        <v>-0.89359488363634</v>
      </c>
      <c r="BD29" s="28">
        <f t="shared" si="33"/>
        <v>-0.89359488363634</v>
      </c>
      <c r="BE29" s="28">
        <f t="shared" si="33"/>
        <v>-0.89359488363634</v>
      </c>
      <c r="BF29" s="28">
        <f t="shared" si="33"/>
        <v>-0.89359488363634</v>
      </c>
      <c r="BG29" s="28">
        <f t="shared" si="33"/>
        <v>-0.89359488363634</v>
      </c>
      <c r="BH29" s="28">
        <f t="shared" si="33"/>
        <v>-0.89359488363634</v>
      </c>
      <c r="BI29" s="28">
        <f t="shared" si="33"/>
        <v>-0.89359488363634</v>
      </c>
      <c r="BJ29" s="28">
        <f t="shared" si="33"/>
        <v>-0.89359488363634</v>
      </c>
      <c r="BK29" s="28">
        <f t="shared" si="33"/>
        <v>-0.89359488363634</v>
      </c>
      <c r="BL29" s="28">
        <f t="shared" si="33"/>
        <v>-0.89359488363634</v>
      </c>
      <c r="BM29" s="28">
        <f t="shared" si="33"/>
        <v>-0.89359488363634</v>
      </c>
      <c r="BN29" s="28">
        <f t="shared" si="33"/>
        <v>-0.89359488363634</v>
      </c>
      <c r="BO29" s="28">
        <f t="shared" si="33"/>
        <v>-0.89359488363634</v>
      </c>
      <c r="BP29" s="28">
        <f t="shared" si="33"/>
        <v>-0.89359488363634</v>
      </c>
      <c r="BQ29" s="28">
        <f t="shared" si="33"/>
        <v>-0.89359488363634</v>
      </c>
      <c r="BR29" s="28">
        <f t="shared" si="33"/>
        <v>-0.89359488363634</v>
      </c>
      <c r="BS29" s="28">
        <f t="shared" ref="BS29:DJ29" si="34">MIN($F18:$DJ18)</f>
        <v>-0.89359488363634</v>
      </c>
      <c r="BT29" s="28">
        <f t="shared" si="34"/>
        <v>-0.89359488363634</v>
      </c>
      <c r="BU29" s="28">
        <f t="shared" si="34"/>
        <v>-0.89359488363634</v>
      </c>
      <c r="BV29" s="28">
        <f t="shared" si="34"/>
        <v>-0.89359488363634</v>
      </c>
      <c r="BW29" s="28">
        <f t="shared" si="34"/>
        <v>-0.89359488363634</v>
      </c>
      <c r="BX29" s="28">
        <f t="shared" si="34"/>
        <v>-0.89359488363634</v>
      </c>
      <c r="BY29" s="28">
        <f t="shared" si="34"/>
        <v>-0.89359488363634</v>
      </c>
      <c r="BZ29" s="28">
        <f t="shared" si="34"/>
        <v>-0.89359488363634</v>
      </c>
      <c r="CA29" s="28">
        <f t="shared" si="34"/>
        <v>-0.89359488363634</v>
      </c>
      <c r="CB29" s="28">
        <f t="shared" si="34"/>
        <v>-0.89359488363634</v>
      </c>
      <c r="CC29" s="28">
        <f t="shared" si="34"/>
        <v>-0.89359488363634</v>
      </c>
      <c r="CD29" s="28">
        <f t="shared" si="34"/>
        <v>-0.89359488363634</v>
      </c>
      <c r="CE29" s="28">
        <f t="shared" si="34"/>
        <v>-0.89359488363634</v>
      </c>
      <c r="CF29" s="28">
        <f t="shared" si="34"/>
        <v>-0.89359488363634</v>
      </c>
      <c r="CG29" s="28">
        <f t="shared" si="34"/>
        <v>-0.89359488363634</v>
      </c>
      <c r="CH29" s="28">
        <f t="shared" si="34"/>
        <v>-0.89359488363634</v>
      </c>
      <c r="CI29" s="28">
        <f t="shared" si="34"/>
        <v>-0.89359488363634</v>
      </c>
      <c r="CJ29" s="28">
        <f t="shared" si="34"/>
        <v>-0.89359488363634</v>
      </c>
      <c r="CK29" s="28">
        <f t="shared" si="34"/>
        <v>-0.89359488363634</v>
      </c>
      <c r="CL29" s="28">
        <f t="shared" si="34"/>
        <v>-0.89359488363634</v>
      </c>
      <c r="CM29" s="28">
        <f t="shared" si="34"/>
        <v>-0.89359488363634</v>
      </c>
      <c r="CN29" s="28">
        <f t="shared" si="34"/>
        <v>-0.89359488363634</v>
      </c>
      <c r="CO29" s="28">
        <f t="shared" si="34"/>
        <v>-0.89359488363634</v>
      </c>
      <c r="CP29" s="28">
        <f t="shared" si="34"/>
        <v>-0.89359488363634</v>
      </c>
      <c r="CQ29" s="28">
        <f t="shared" si="34"/>
        <v>-0.89359488363634</v>
      </c>
      <c r="CR29" s="28">
        <f t="shared" si="34"/>
        <v>-0.89359488363634</v>
      </c>
      <c r="CS29" s="28">
        <f t="shared" si="34"/>
        <v>-0.89359488363634</v>
      </c>
      <c r="CT29" s="28">
        <f t="shared" si="34"/>
        <v>-0.89359488363634</v>
      </c>
      <c r="CU29" s="28">
        <f t="shared" si="34"/>
        <v>-0.89359488363634</v>
      </c>
      <c r="CV29" s="28">
        <f t="shared" si="34"/>
        <v>-0.89359488363634</v>
      </c>
      <c r="CW29" s="28">
        <f t="shared" si="34"/>
        <v>-0.89359488363634</v>
      </c>
      <c r="CX29" s="28">
        <f t="shared" si="34"/>
        <v>-0.89359488363634</v>
      </c>
      <c r="CY29" s="28">
        <f t="shared" si="34"/>
        <v>-0.89359488363634</v>
      </c>
      <c r="CZ29" s="28">
        <f t="shared" si="34"/>
        <v>-0.89359488363634</v>
      </c>
      <c r="DA29" s="28">
        <f t="shared" si="34"/>
        <v>-0.89359488363634</v>
      </c>
      <c r="DB29" s="28">
        <f t="shared" si="34"/>
        <v>-0.89359488363634</v>
      </c>
      <c r="DC29" s="28">
        <f t="shared" si="34"/>
        <v>-0.89359488363634</v>
      </c>
      <c r="DD29" s="28">
        <f t="shared" si="34"/>
        <v>-0.89359488363634</v>
      </c>
      <c r="DE29" s="28">
        <f t="shared" si="34"/>
        <v>-0.89359488363634</v>
      </c>
      <c r="DF29" s="28">
        <f t="shared" si="34"/>
        <v>-0.89359488363634</v>
      </c>
      <c r="DG29" s="28">
        <f t="shared" si="34"/>
        <v>-0.89359488363634</v>
      </c>
      <c r="DH29" s="28">
        <f t="shared" si="34"/>
        <v>-0.89359488363634</v>
      </c>
      <c r="DI29" s="28">
        <f t="shared" si="34"/>
        <v>-0.89359488363634</v>
      </c>
      <c r="DJ29" s="28">
        <f t="shared" si="34"/>
        <v>-0.89359488363634</v>
      </c>
      <c r="DK29" s="7">
        <f t="shared" si="31"/>
        <v>0.0317097919837646</v>
      </c>
      <c r="DL29">
        <v>0</v>
      </c>
      <c r="DM29">
        <v>5</v>
      </c>
    </row>
    <row r="30" spans="1:117">
      <c r="A30">
        <v>2030</v>
      </c>
      <c r="B30" t="str">
        <f t="shared" si="32"/>
        <v>UCE_utilization_OIL_UP</v>
      </c>
      <c r="C30" t="s">
        <v>404</v>
      </c>
      <c r="D30" t="str">
        <f t="shared" si="28"/>
        <v>???OIL</v>
      </c>
      <c r="E30" s="51" t="s">
        <v>468</v>
      </c>
      <c r="F30" s="28">
        <f>MIN($F19:$DJ19)</f>
        <v>-0.95</v>
      </c>
      <c r="G30" s="28">
        <f t="shared" ref="G30:BR30" si="35">MIN($F19:$DJ19)</f>
        <v>-0.95</v>
      </c>
      <c r="H30" s="28">
        <f t="shared" si="35"/>
        <v>-0.95</v>
      </c>
      <c r="I30" s="28">
        <f t="shared" si="35"/>
        <v>-0.95</v>
      </c>
      <c r="J30" s="28">
        <f t="shared" si="35"/>
        <v>-0.95</v>
      </c>
      <c r="K30" s="28">
        <f t="shared" si="35"/>
        <v>-0.95</v>
      </c>
      <c r="L30" s="28">
        <f t="shared" si="35"/>
        <v>-0.95</v>
      </c>
      <c r="M30" s="28">
        <f t="shared" si="35"/>
        <v>-0.95</v>
      </c>
      <c r="N30" s="28">
        <f t="shared" si="35"/>
        <v>-0.95</v>
      </c>
      <c r="O30" s="28">
        <f t="shared" si="35"/>
        <v>-0.95</v>
      </c>
      <c r="P30" s="28">
        <f t="shared" si="35"/>
        <v>-0.95</v>
      </c>
      <c r="Q30" s="28">
        <f t="shared" si="35"/>
        <v>-0.95</v>
      </c>
      <c r="R30" s="28">
        <f t="shared" si="35"/>
        <v>-0.95</v>
      </c>
      <c r="S30" s="28">
        <f t="shared" si="35"/>
        <v>-0.95</v>
      </c>
      <c r="T30" s="28">
        <f t="shared" si="35"/>
        <v>-0.95</v>
      </c>
      <c r="U30" s="28">
        <f t="shared" si="35"/>
        <v>-0.95</v>
      </c>
      <c r="V30" s="28">
        <f t="shared" si="35"/>
        <v>-0.95</v>
      </c>
      <c r="W30" s="28">
        <f t="shared" si="35"/>
        <v>-0.95</v>
      </c>
      <c r="X30" s="28">
        <f t="shared" si="35"/>
        <v>-0.95</v>
      </c>
      <c r="Y30" s="28">
        <f t="shared" si="35"/>
        <v>-0.95</v>
      </c>
      <c r="Z30" s="28">
        <f t="shared" si="35"/>
        <v>-0.95</v>
      </c>
      <c r="AA30" s="28">
        <f t="shared" si="35"/>
        <v>-0.95</v>
      </c>
      <c r="AB30" s="28">
        <f t="shared" si="35"/>
        <v>-0.95</v>
      </c>
      <c r="AC30" s="28">
        <f t="shared" si="35"/>
        <v>-0.95</v>
      </c>
      <c r="AD30" s="28">
        <f t="shared" si="35"/>
        <v>-0.95</v>
      </c>
      <c r="AE30" s="28">
        <f t="shared" si="35"/>
        <v>-0.95</v>
      </c>
      <c r="AF30" s="28">
        <f t="shared" si="35"/>
        <v>-0.95</v>
      </c>
      <c r="AG30" s="28">
        <f t="shared" si="35"/>
        <v>-0.95</v>
      </c>
      <c r="AH30" s="28">
        <f t="shared" si="35"/>
        <v>-0.95</v>
      </c>
      <c r="AI30" s="28">
        <f t="shared" si="35"/>
        <v>-0.95</v>
      </c>
      <c r="AJ30" s="28">
        <f t="shared" si="35"/>
        <v>-0.95</v>
      </c>
      <c r="AK30" s="28">
        <f t="shared" si="35"/>
        <v>-0.95</v>
      </c>
      <c r="AL30" s="28">
        <f t="shared" si="35"/>
        <v>-0.95</v>
      </c>
      <c r="AM30" s="28">
        <f t="shared" si="35"/>
        <v>-0.95</v>
      </c>
      <c r="AN30" s="28">
        <f t="shared" si="35"/>
        <v>-0.95</v>
      </c>
      <c r="AO30" s="28">
        <f t="shared" si="35"/>
        <v>-0.95</v>
      </c>
      <c r="AP30" s="28">
        <f t="shared" si="35"/>
        <v>-0.95</v>
      </c>
      <c r="AQ30" s="28">
        <f t="shared" si="35"/>
        <v>-0.95</v>
      </c>
      <c r="AR30" s="28">
        <f t="shared" si="35"/>
        <v>-0.95</v>
      </c>
      <c r="AS30" s="28">
        <f t="shared" si="35"/>
        <v>-0.95</v>
      </c>
      <c r="AT30" s="28">
        <f t="shared" si="35"/>
        <v>-0.95</v>
      </c>
      <c r="AU30" s="28">
        <f t="shared" si="35"/>
        <v>-0.95</v>
      </c>
      <c r="AV30" s="28">
        <f t="shared" si="35"/>
        <v>-0.95</v>
      </c>
      <c r="AW30" s="28">
        <f t="shared" si="35"/>
        <v>-0.95</v>
      </c>
      <c r="AX30" s="28">
        <f t="shared" si="35"/>
        <v>-0.95</v>
      </c>
      <c r="AY30" s="28">
        <f t="shared" si="35"/>
        <v>-0.95</v>
      </c>
      <c r="AZ30" s="28">
        <f t="shared" si="35"/>
        <v>-0.95</v>
      </c>
      <c r="BA30" s="28">
        <f t="shared" si="35"/>
        <v>-0.95</v>
      </c>
      <c r="BB30" s="28">
        <f t="shared" si="35"/>
        <v>-0.95</v>
      </c>
      <c r="BC30" s="28">
        <f t="shared" si="35"/>
        <v>-0.95</v>
      </c>
      <c r="BD30" s="28">
        <f t="shared" si="35"/>
        <v>-0.95</v>
      </c>
      <c r="BE30" s="28">
        <f t="shared" si="35"/>
        <v>-0.95</v>
      </c>
      <c r="BF30" s="28">
        <f t="shared" si="35"/>
        <v>-0.95</v>
      </c>
      <c r="BG30" s="28">
        <f t="shared" si="35"/>
        <v>-0.95</v>
      </c>
      <c r="BH30" s="28">
        <f t="shared" si="35"/>
        <v>-0.95</v>
      </c>
      <c r="BI30" s="28">
        <f t="shared" si="35"/>
        <v>-0.95</v>
      </c>
      <c r="BJ30" s="28">
        <f t="shared" si="35"/>
        <v>-0.95</v>
      </c>
      <c r="BK30" s="28">
        <f t="shared" si="35"/>
        <v>-0.95</v>
      </c>
      <c r="BL30" s="28">
        <f t="shared" si="35"/>
        <v>-0.95</v>
      </c>
      <c r="BM30" s="28">
        <f t="shared" si="35"/>
        <v>-0.95</v>
      </c>
      <c r="BN30" s="28">
        <f t="shared" si="35"/>
        <v>-0.95</v>
      </c>
      <c r="BO30" s="28">
        <f t="shared" si="35"/>
        <v>-0.95</v>
      </c>
      <c r="BP30" s="28">
        <f t="shared" si="35"/>
        <v>-0.95</v>
      </c>
      <c r="BQ30" s="28">
        <f t="shared" si="35"/>
        <v>-0.95</v>
      </c>
      <c r="BR30" s="28">
        <f t="shared" si="35"/>
        <v>-0.95</v>
      </c>
      <c r="BS30" s="28">
        <f t="shared" ref="BS30:DJ30" si="36">MIN($F19:$DJ19)</f>
        <v>-0.95</v>
      </c>
      <c r="BT30" s="28">
        <f t="shared" si="36"/>
        <v>-0.95</v>
      </c>
      <c r="BU30" s="28">
        <f t="shared" si="36"/>
        <v>-0.95</v>
      </c>
      <c r="BV30" s="28">
        <f t="shared" si="36"/>
        <v>-0.95</v>
      </c>
      <c r="BW30" s="28">
        <f t="shared" si="36"/>
        <v>-0.95</v>
      </c>
      <c r="BX30" s="28">
        <f t="shared" si="36"/>
        <v>-0.95</v>
      </c>
      <c r="BY30" s="28">
        <f t="shared" si="36"/>
        <v>-0.95</v>
      </c>
      <c r="BZ30" s="28">
        <f t="shared" si="36"/>
        <v>-0.95</v>
      </c>
      <c r="CA30" s="28">
        <f t="shared" si="36"/>
        <v>-0.95</v>
      </c>
      <c r="CB30" s="28">
        <f t="shared" si="36"/>
        <v>-0.95</v>
      </c>
      <c r="CC30" s="28">
        <f t="shared" si="36"/>
        <v>-0.95</v>
      </c>
      <c r="CD30" s="28">
        <f t="shared" si="36"/>
        <v>-0.95</v>
      </c>
      <c r="CE30" s="28">
        <f t="shared" si="36"/>
        <v>-0.95</v>
      </c>
      <c r="CF30" s="28">
        <f t="shared" si="36"/>
        <v>-0.95</v>
      </c>
      <c r="CG30" s="28">
        <f t="shared" si="36"/>
        <v>-0.95</v>
      </c>
      <c r="CH30" s="28">
        <f t="shared" si="36"/>
        <v>-0.95</v>
      </c>
      <c r="CI30" s="28">
        <f t="shared" si="36"/>
        <v>-0.95</v>
      </c>
      <c r="CJ30" s="28">
        <f t="shared" si="36"/>
        <v>-0.95</v>
      </c>
      <c r="CK30" s="28">
        <f t="shared" si="36"/>
        <v>-0.95</v>
      </c>
      <c r="CL30" s="28">
        <f t="shared" si="36"/>
        <v>-0.95</v>
      </c>
      <c r="CM30" s="28">
        <f t="shared" si="36"/>
        <v>-0.95</v>
      </c>
      <c r="CN30" s="28">
        <f t="shared" si="36"/>
        <v>-0.95</v>
      </c>
      <c r="CO30" s="28">
        <f t="shared" si="36"/>
        <v>-0.95</v>
      </c>
      <c r="CP30" s="28">
        <f t="shared" si="36"/>
        <v>-0.95</v>
      </c>
      <c r="CQ30" s="28">
        <f t="shared" si="36"/>
        <v>-0.95</v>
      </c>
      <c r="CR30" s="28">
        <f t="shared" si="36"/>
        <v>-0.95</v>
      </c>
      <c r="CS30" s="28">
        <f t="shared" si="36"/>
        <v>-0.95</v>
      </c>
      <c r="CT30" s="28">
        <f t="shared" si="36"/>
        <v>-0.95</v>
      </c>
      <c r="CU30" s="28">
        <f t="shared" si="36"/>
        <v>-0.95</v>
      </c>
      <c r="CV30" s="28">
        <f t="shared" si="36"/>
        <v>-0.95</v>
      </c>
      <c r="CW30" s="28">
        <f t="shared" si="36"/>
        <v>-0.95</v>
      </c>
      <c r="CX30" s="28">
        <f t="shared" si="36"/>
        <v>-0.95</v>
      </c>
      <c r="CY30" s="28">
        <f t="shared" si="36"/>
        <v>-0.95</v>
      </c>
      <c r="CZ30" s="28">
        <f t="shared" si="36"/>
        <v>-0.95</v>
      </c>
      <c r="DA30" s="28">
        <f t="shared" si="36"/>
        <v>-0.95</v>
      </c>
      <c r="DB30" s="28">
        <f t="shared" si="36"/>
        <v>-0.95</v>
      </c>
      <c r="DC30" s="28">
        <f t="shared" si="36"/>
        <v>-0.95</v>
      </c>
      <c r="DD30" s="28">
        <f t="shared" si="36"/>
        <v>-0.95</v>
      </c>
      <c r="DE30" s="28">
        <f t="shared" si="36"/>
        <v>-0.95</v>
      </c>
      <c r="DF30" s="28">
        <f t="shared" si="36"/>
        <v>-0.95</v>
      </c>
      <c r="DG30" s="28">
        <f t="shared" si="36"/>
        <v>-0.95</v>
      </c>
      <c r="DH30" s="28">
        <f t="shared" si="36"/>
        <v>-0.95</v>
      </c>
      <c r="DI30" s="28">
        <f t="shared" si="36"/>
        <v>-0.95</v>
      </c>
      <c r="DJ30" s="28">
        <f t="shared" si="36"/>
        <v>-0.95</v>
      </c>
      <c r="DK30" s="7">
        <f t="shared" si="31"/>
        <v>0.0317097919837646</v>
      </c>
      <c r="DL30">
        <v>0</v>
      </c>
      <c r="DM30">
        <v>5</v>
      </c>
    </row>
    <row r="31" spans="1:117">
      <c r="A31">
        <v>2030</v>
      </c>
      <c r="B31" t="str">
        <f t="shared" si="32"/>
        <v>UCE_utilization_CRD_UP</v>
      </c>
      <c r="C31" t="s">
        <v>404</v>
      </c>
      <c r="D31" t="str">
        <f t="shared" si="28"/>
        <v>???OIL_CRD</v>
      </c>
      <c r="E31" s="51" t="s">
        <v>468</v>
      </c>
      <c r="F31" s="28">
        <f>MIN($F20:$DJ20)</f>
        <v>-0.95</v>
      </c>
      <c r="G31" s="28">
        <f t="shared" ref="G31:BR31" si="37">MIN($F20:$DJ20)</f>
        <v>-0.95</v>
      </c>
      <c r="H31" s="28">
        <f t="shared" si="37"/>
        <v>-0.95</v>
      </c>
      <c r="I31" s="28">
        <f t="shared" si="37"/>
        <v>-0.95</v>
      </c>
      <c r="J31" s="28">
        <f t="shared" si="37"/>
        <v>-0.95</v>
      </c>
      <c r="K31" s="28">
        <f t="shared" si="37"/>
        <v>-0.95</v>
      </c>
      <c r="L31" s="28">
        <f t="shared" si="37"/>
        <v>-0.95</v>
      </c>
      <c r="M31" s="28">
        <f t="shared" si="37"/>
        <v>-0.95</v>
      </c>
      <c r="N31" s="28">
        <f t="shared" si="37"/>
        <v>-0.95</v>
      </c>
      <c r="O31" s="28">
        <f t="shared" si="37"/>
        <v>-0.95</v>
      </c>
      <c r="P31" s="28">
        <f t="shared" si="37"/>
        <v>-0.95</v>
      </c>
      <c r="Q31" s="28">
        <f t="shared" si="37"/>
        <v>-0.95</v>
      </c>
      <c r="R31" s="28">
        <f t="shared" si="37"/>
        <v>-0.95</v>
      </c>
      <c r="S31" s="28">
        <f t="shared" si="37"/>
        <v>-0.95</v>
      </c>
      <c r="T31" s="28">
        <f t="shared" si="37"/>
        <v>-0.95</v>
      </c>
      <c r="U31" s="28">
        <f t="shared" si="37"/>
        <v>-0.95</v>
      </c>
      <c r="V31" s="28">
        <f t="shared" si="37"/>
        <v>-0.95</v>
      </c>
      <c r="W31" s="28">
        <f t="shared" si="37"/>
        <v>-0.95</v>
      </c>
      <c r="X31" s="28">
        <f t="shared" si="37"/>
        <v>-0.95</v>
      </c>
      <c r="Y31" s="28">
        <f t="shared" si="37"/>
        <v>-0.95</v>
      </c>
      <c r="Z31" s="28">
        <f t="shared" si="37"/>
        <v>-0.95</v>
      </c>
      <c r="AA31" s="28">
        <f t="shared" si="37"/>
        <v>-0.95</v>
      </c>
      <c r="AB31" s="28">
        <f t="shared" si="37"/>
        <v>-0.95</v>
      </c>
      <c r="AC31" s="28">
        <f t="shared" si="37"/>
        <v>-0.95</v>
      </c>
      <c r="AD31" s="28">
        <f t="shared" si="37"/>
        <v>-0.95</v>
      </c>
      <c r="AE31" s="28">
        <f t="shared" si="37"/>
        <v>-0.95</v>
      </c>
      <c r="AF31" s="28">
        <f t="shared" si="37"/>
        <v>-0.95</v>
      </c>
      <c r="AG31" s="28">
        <f t="shared" si="37"/>
        <v>-0.95</v>
      </c>
      <c r="AH31" s="28">
        <f t="shared" si="37"/>
        <v>-0.95</v>
      </c>
      <c r="AI31" s="28">
        <f t="shared" si="37"/>
        <v>-0.95</v>
      </c>
      <c r="AJ31" s="28">
        <f t="shared" si="37"/>
        <v>-0.95</v>
      </c>
      <c r="AK31" s="28">
        <f t="shared" si="37"/>
        <v>-0.95</v>
      </c>
      <c r="AL31" s="28">
        <f t="shared" si="37"/>
        <v>-0.95</v>
      </c>
      <c r="AM31" s="28">
        <f t="shared" si="37"/>
        <v>-0.95</v>
      </c>
      <c r="AN31" s="28">
        <f t="shared" si="37"/>
        <v>-0.95</v>
      </c>
      <c r="AO31" s="28">
        <f t="shared" si="37"/>
        <v>-0.95</v>
      </c>
      <c r="AP31" s="28">
        <f t="shared" si="37"/>
        <v>-0.95</v>
      </c>
      <c r="AQ31" s="28">
        <f t="shared" si="37"/>
        <v>-0.95</v>
      </c>
      <c r="AR31" s="28">
        <f t="shared" si="37"/>
        <v>-0.95</v>
      </c>
      <c r="AS31" s="28">
        <f t="shared" si="37"/>
        <v>-0.95</v>
      </c>
      <c r="AT31" s="28">
        <f t="shared" si="37"/>
        <v>-0.95</v>
      </c>
      <c r="AU31" s="28">
        <f t="shared" si="37"/>
        <v>-0.95</v>
      </c>
      <c r="AV31" s="28">
        <f t="shared" si="37"/>
        <v>-0.95</v>
      </c>
      <c r="AW31" s="28">
        <f t="shared" si="37"/>
        <v>-0.95</v>
      </c>
      <c r="AX31" s="28">
        <f t="shared" si="37"/>
        <v>-0.95</v>
      </c>
      <c r="AY31" s="28">
        <f t="shared" si="37"/>
        <v>-0.95</v>
      </c>
      <c r="AZ31" s="28">
        <f t="shared" si="37"/>
        <v>-0.95</v>
      </c>
      <c r="BA31" s="28">
        <f t="shared" si="37"/>
        <v>-0.95</v>
      </c>
      <c r="BB31" s="28">
        <f t="shared" si="37"/>
        <v>-0.95</v>
      </c>
      <c r="BC31" s="28">
        <f t="shared" si="37"/>
        <v>-0.95</v>
      </c>
      <c r="BD31" s="28">
        <f t="shared" si="37"/>
        <v>-0.95</v>
      </c>
      <c r="BE31" s="28">
        <f t="shared" si="37"/>
        <v>-0.95</v>
      </c>
      <c r="BF31" s="28">
        <f t="shared" si="37"/>
        <v>-0.95</v>
      </c>
      <c r="BG31" s="28">
        <f t="shared" si="37"/>
        <v>-0.95</v>
      </c>
      <c r="BH31" s="28">
        <f t="shared" si="37"/>
        <v>-0.95</v>
      </c>
      <c r="BI31" s="28">
        <f t="shared" si="37"/>
        <v>-0.95</v>
      </c>
      <c r="BJ31" s="28">
        <f t="shared" si="37"/>
        <v>-0.95</v>
      </c>
      <c r="BK31" s="28">
        <f t="shared" si="37"/>
        <v>-0.95</v>
      </c>
      <c r="BL31" s="28">
        <f t="shared" si="37"/>
        <v>-0.95</v>
      </c>
      <c r="BM31" s="28">
        <f t="shared" si="37"/>
        <v>-0.95</v>
      </c>
      <c r="BN31" s="28">
        <f t="shared" si="37"/>
        <v>-0.95</v>
      </c>
      <c r="BO31" s="28">
        <f t="shared" si="37"/>
        <v>-0.95</v>
      </c>
      <c r="BP31" s="28">
        <f t="shared" si="37"/>
        <v>-0.95</v>
      </c>
      <c r="BQ31" s="28">
        <f t="shared" si="37"/>
        <v>-0.95</v>
      </c>
      <c r="BR31" s="28">
        <f t="shared" si="37"/>
        <v>-0.95</v>
      </c>
      <c r="BS31" s="28">
        <f t="shared" ref="BS31:DJ31" si="38">MIN($F20:$DJ20)</f>
        <v>-0.95</v>
      </c>
      <c r="BT31" s="28">
        <f t="shared" si="38"/>
        <v>-0.95</v>
      </c>
      <c r="BU31" s="28">
        <f t="shared" si="38"/>
        <v>-0.95</v>
      </c>
      <c r="BV31" s="28">
        <f t="shared" si="38"/>
        <v>-0.95</v>
      </c>
      <c r="BW31" s="28">
        <f t="shared" si="38"/>
        <v>-0.95</v>
      </c>
      <c r="BX31" s="28">
        <f t="shared" si="38"/>
        <v>-0.95</v>
      </c>
      <c r="BY31" s="28">
        <f t="shared" si="38"/>
        <v>-0.95</v>
      </c>
      <c r="BZ31" s="28">
        <f t="shared" si="38"/>
        <v>-0.95</v>
      </c>
      <c r="CA31" s="28">
        <f t="shared" si="38"/>
        <v>-0.95</v>
      </c>
      <c r="CB31" s="28">
        <f t="shared" si="38"/>
        <v>-0.95</v>
      </c>
      <c r="CC31" s="28">
        <f t="shared" si="38"/>
        <v>-0.95</v>
      </c>
      <c r="CD31" s="28">
        <f t="shared" si="38"/>
        <v>-0.95</v>
      </c>
      <c r="CE31" s="28">
        <f t="shared" si="38"/>
        <v>-0.95</v>
      </c>
      <c r="CF31" s="28">
        <f t="shared" si="38"/>
        <v>-0.95</v>
      </c>
      <c r="CG31" s="28">
        <f t="shared" si="38"/>
        <v>-0.95</v>
      </c>
      <c r="CH31" s="28">
        <f t="shared" si="38"/>
        <v>-0.95</v>
      </c>
      <c r="CI31" s="28">
        <f t="shared" si="38"/>
        <v>-0.95</v>
      </c>
      <c r="CJ31" s="28">
        <f t="shared" si="38"/>
        <v>-0.95</v>
      </c>
      <c r="CK31" s="28">
        <f t="shared" si="38"/>
        <v>-0.95</v>
      </c>
      <c r="CL31" s="28">
        <f t="shared" si="38"/>
        <v>-0.95</v>
      </c>
      <c r="CM31" s="28">
        <f t="shared" si="38"/>
        <v>-0.95</v>
      </c>
      <c r="CN31" s="28">
        <f t="shared" si="38"/>
        <v>-0.95</v>
      </c>
      <c r="CO31" s="28">
        <f t="shared" si="38"/>
        <v>-0.95</v>
      </c>
      <c r="CP31" s="28">
        <f t="shared" si="38"/>
        <v>-0.95</v>
      </c>
      <c r="CQ31" s="28">
        <f t="shared" si="38"/>
        <v>-0.95</v>
      </c>
      <c r="CR31" s="28">
        <f t="shared" si="38"/>
        <v>-0.95</v>
      </c>
      <c r="CS31" s="28">
        <f t="shared" si="38"/>
        <v>-0.95</v>
      </c>
      <c r="CT31" s="28">
        <f t="shared" si="38"/>
        <v>-0.95</v>
      </c>
      <c r="CU31" s="28">
        <f t="shared" si="38"/>
        <v>-0.95</v>
      </c>
      <c r="CV31" s="28">
        <f t="shared" si="38"/>
        <v>-0.95</v>
      </c>
      <c r="CW31" s="28">
        <f t="shared" si="38"/>
        <v>-0.95</v>
      </c>
      <c r="CX31" s="28">
        <f t="shared" si="38"/>
        <v>-0.95</v>
      </c>
      <c r="CY31" s="28">
        <f t="shared" si="38"/>
        <v>-0.95</v>
      </c>
      <c r="CZ31" s="28">
        <f t="shared" si="38"/>
        <v>-0.95</v>
      </c>
      <c r="DA31" s="28">
        <f t="shared" si="38"/>
        <v>-0.95</v>
      </c>
      <c r="DB31" s="28">
        <f t="shared" si="38"/>
        <v>-0.95</v>
      </c>
      <c r="DC31" s="28">
        <f t="shared" si="38"/>
        <v>-0.95</v>
      </c>
      <c r="DD31" s="28">
        <f t="shared" si="38"/>
        <v>-0.95</v>
      </c>
      <c r="DE31" s="28">
        <f t="shared" si="38"/>
        <v>-0.95</v>
      </c>
      <c r="DF31" s="28">
        <f t="shared" si="38"/>
        <v>-0.95</v>
      </c>
      <c r="DG31" s="28">
        <f t="shared" si="38"/>
        <v>-0.95</v>
      </c>
      <c r="DH31" s="28">
        <f t="shared" si="38"/>
        <v>-0.95</v>
      </c>
      <c r="DI31" s="28">
        <f t="shared" si="38"/>
        <v>-0.95</v>
      </c>
      <c r="DJ31" s="28">
        <f t="shared" si="38"/>
        <v>-0.95</v>
      </c>
      <c r="DK31" s="7">
        <f t="shared" si="31"/>
        <v>0.0317097919837646</v>
      </c>
      <c r="DL31">
        <v>0</v>
      </c>
      <c r="DM31">
        <v>5</v>
      </c>
    </row>
    <row r="32" spans="1:117">
      <c r="A32">
        <v>2030</v>
      </c>
      <c r="B32" t="str">
        <f t="shared" si="32"/>
        <v>UCE_utilization_DST_UP</v>
      </c>
      <c r="C32" t="s">
        <v>404</v>
      </c>
      <c r="D32" t="str">
        <f t="shared" si="28"/>
        <v>???OIL_DST</v>
      </c>
      <c r="E32" s="51" t="s">
        <v>468</v>
      </c>
      <c r="F32" s="28">
        <f>MIN($F21:$DJ21)</f>
        <v>-0.95</v>
      </c>
      <c r="G32" s="28">
        <f t="shared" ref="G32:BR32" si="39">MIN($F21:$DJ21)</f>
        <v>-0.95</v>
      </c>
      <c r="H32" s="28">
        <f t="shared" si="39"/>
        <v>-0.95</v>
      </c>
      <c r="I32" s="28">
        <f t="shared" si="39"/>
        <v>-0.95</v>
      </c>
      <c r="J32" s="28">
        <f t="shared" si="39"/>
        <v>-0.95</v>
      </c>
      <c r="K32" s="28">
        <f t="shared" si="39"/>
        <v>-0.95</v>
      </c>
      <c r="L32" s="28">
        <f t="shared" si="39"/>
        <v>-0.95</v>
      </c>
      <c r="M32" s="28">
        <f t="shared" si="39"/>
        <v>-0.95</v>
      </c>
      <c r="N32" s="28">
        <f t="shared" si="39"/>
        <v>-0.95</v>
      </c>
      <c r="O32" s="28">
        <f t="shared" si="39"/>
        <v>-0.95</v>
      </c>
      <c r="P32" s="28">
        <f t="shared" si="39"/>
        <v>-0.95</v>
      </c>
      <c r="Q32" s="28">
        <f t="shared" si="39"/>
        <v>-0.95</v>
      </c>
      <c r="R32" s="28">
        <f t="shared" si="39"/>
        <v>-0.95</v>
      </c>
      <c r="S32" s="28">
        <f t="shared" si="39"/>
        <v>-0.95</v>
      </c>
      <c r="T32" s="28">
        <f t="shared" si="39"/>
        <v>-0.95</v>
      </c>
      <c r="U32" s="28">
        <f t="shared" si="39"/>
        <v>-0.95</v>
      </c>
      <c r="V32" s="28">
        <f t="shared" si="39"/>
        <v>-0.95</v>
      </c>
      <c r="W32" s="28">
        <f t="shared" si="39"/>
        <v>-0.95</v>
      </c>
      <c r="X32" s="28">
        <f t="shared" si="39"/>
        <v>-0.95</v>
      </c>
      <c r="Y32" s="28">
        <f t="shared" si="39"/>
        <v>-0.95</v>
      </c>
      <c r="Z32" s="28">
        <f t="shared" si="39"/>
        <v>-0.95</v>
      </c>
      <c r="AA32" s="28">
        <f t="shared" si="39"/>
        <v>-0.95</v>
      </c>
      <c r="AB32" s="28">
        <f t="shared" si="39"/>
        <v>-0.95</v>
      </c>
      <c r="AC32" s="28">
        <f t="shared" si="39"/>
        <v>-0.95</v>
      </c>
      <c r="AD32" s="28">
        <f t="shared" si="39"/>
        <v>-0.95</v>
      </c>
      <c r="AE32" s="28">
        <f t="shared" si="39"/>
        <v>-0.95</v>
      </c>
      <c r="AF32" s="28">
        <f t="shared" si="39"/>
        <v>-0.95</v>
      </c>
      <c r="AG32" s="28">
        <f t="shared" si="39"/>
        <v>-0.95</v>
      </c>
      <c r="AH32" s="28">
        <f t="shared" si="39"/>
        <v>-0.95</v>
      </c>
      <c r="AI32" s="28">
        <f t="shared" si="39"/>
        <v>-0.95</v>
      </c>
      <c r="AJ32" s="28">
        <f t="shared" si="39"/>
        <v>-0.95</v>
      </c>
      <c r="AK32" s="28">
        <f t="shared" si="39"/>
        <v>-0.95</v>
      </c>
      <c r="AL32" s="28">
        <f t="shared" si="39"/>
        <v>-0.95</v>
      </c>
      <c r="AM32" s="28">
        <f t="shared" si="39"/>
        <v>-0.95</v>
      </c>
      <c r="AN32" s="28">
        <f t="shared" si="39"/>
        <v>-0.95</v>
      </c>
      <c r="AO32" s="28">
        <f t="shared" si="39"/>
        <v>-0.95</v>
      </c>
      <c r="AP32" s="28">
        <f t="shared" si="39"/>
        <v>-0.95</v>
      </c>
      <c r="AQ32" s="28">
        <f t="shared" si="39"/>
        <v>-0.95</v>
      </c>
      <c r="AR32" s="28">
        <f t="shared" si="39"/>
        <v>-0.95</v>
      </c>
      <c r="AS32" s="28">
        <f t="shared" si="39"/>
        <v>-0.95</v>
      </c>
      <c r="AT32" s="28">
        <f t="shared" si="39"/>
        <v>-0.95</v>
      </c>
      <c r="AU32" s="28">
        <f t="shared" si="39"/>
        <v>-0.95</v>
      </c>
      <c r="AV32" s="28">
        <f t="shared" si="39"/>
        <v>-0.95</v>
      </c>
      <c r="AW32" s="28">
        <f t="shared" si="39"/>
        <v>-0.95</v>
      </c>
      <c r="AX32" s="28">
        <f t="shared" si="39"/>
        <v>-0.95</v>
      </c>
      <c r="AY32" s="28">
        <f t="shared" si="39"/>
        <v>-0.95</v>
      </c>
      <c r="AZ32" s="28">
        <f t="shared" si="39"/>
        <v>-0.95</v>
      </c>
      <c r="BA32" s="28">
        <f t="shared" si="39"/>
        <v>-0.95</v>
      </c>
      <c r="BB32" s="28">
        <f t="shared" si="39"/>
        <v>-0.95</v>
      </c>
      <c r="BC32" s="28">
        <f t="shared" si="39"/>
        <v>-0.95</v>
      </c>
      <c r="BD32" s="28">
        <f t="shared" si="39"/>
        <v>-0.95</v>
      </c>
      <c r="BE32" s="28">
        <f t="shared" si="39"/>
        <v>-0.95</v>
      </c>
      <c r="BF32" s="28">
        <f t="shared" si="39"/>
        <v>-0.95</v>
      </c>
      <c r="BG32" s="28">
        <f t="shared" si="39"/>
        <v>-0.95</v>
      </c>
      <c r="BH32" s="28">
        <f t="shared" si="39"/>
        <v>-0.95</v>
      </c>
      <c r="BI32" s="28">
        <f t="shared" si="39"/>
        <v>-0.95</v>
      </c>
      <c r="BJ32" s="28">
        <f t="shared" si="39"/>
        <v>-0.95</v>
      </c>
      <c r="BK32" s="28">
        <f t="shared" si="39"/>
        <v>-0.95</v>
      </c>
      <c r="BL32" s="28">
        <f t="shared" si="39"/>
        <v>-0.95</v>
      </c>
      <c r="BM32" s="28">
        <f t="shared" si="39"/>
        <v>-0.95</v>
      </c>
      <c r="BN32" s="28">
        <f t="shared" si="39"/>
        <v>-0.95</v>
      </c>
      <c r="BO32" s="28">
        <f t="shared" si="39"/>
        <v>-0.95</v>
      </c>
      <c r="BP32" s="28">
        <f t="shared" si="39"/>
        <v>-0.95</v>
      </c>
      <c r="BQ32" s="28">
        <f t="shared" si="39"/>
        <v>-0.95</v>
      </c>
      <c r="BR32" s="28">
        <f t="shared" si="39"/>
        <v>-0.95</v>
      </c>
      <c r="BS32" s="28">
        <f t="shared" ref="BS32:DJ32" si="40">MIN($F21:$DJ21)</f>
        <v>-0.95</v>
      </c>
      <c r="BT32" s="28">
        <f t="shared" si="40"/>
        <v>-0.95</v>
      </c>
      <c r="BU32" s="28">
        <f t="shared" si="40"/>
        <v>-0.95</v>
      </c>
      <c r="BV32" s="28">
        <f t="shared" si="40"/>
        <v>-0.95</v>
      </c>
      <c r="BW32" s="28">
        <f t="shared" si="40"/>
        <v>-0.95</v>
      </c>
      <c r="BX32" s="28">
        <f t="shared" si="40"/>
        <v>-0.95</v>
      </c>
      <c r="BY32" s="28">
        <f t="shared" si="40"/>
        <v>-0.95</v>
      </c>
      <c r="BZ32" s="28">
        <f t="shared" si="40"/>
        <v>-0.95</v>
      </c>
      <c r="CA32" s="28">
        <f t="shared" si="40"/>
        <v>-0.95</v>
      </c>
      <c r="CB32" s="28">
        <f t="shared" si="40"/>
        <v>-0.95</v>
      </c>
      <c r="CC32" s="28">
        <f t="shared" si="40"/>
        <v>-0.95</v>
      </c>
      <c r="CD32" s="28">
        <f t="shared" si="40"/>
        <v>-0.95</v>
      </c>
      <c r="CE32" s="28">
        <f t="shared" si="40"/>
        <v>-0.95</v>
      </c>
      <c r="CF32" s="28">
        <f t="shared" si="40"/>
        <v>-0.95</v>
      </c>
      <c r="CG32" s="28">
        <f t="shared" si="40"/>
        <v>-0.95</v>
      </c>
      <c r="CH32" s="28">
        <f t="shared" si="40"/>
        <v>-0.95</v>
      </c>
      <c r="CI32" s="28">
        <f t="shared" si="40"/>
        <v>-0.95</v>
      </c>
      <c r="CJ32" s="28">
        <f t="shared" si="40"/>
        <v>-0.95</v>
      </c>
      <c r="CK32" s="28">
        <f t="shared" si="40"/>
        <v>-0.95</v>
      </c>
      <c r="CL32" s="28">
        <f t="shared" si="40"/>
        <v>-0.95</v>
      </c>
      <c r="CM32" s="28">
        <f t="shared" si="40"/>
        <v>-0.95</v>
      </c>
      <c r="CN32" s="28">
        <f t="shared" si="40"/>
        <v>-0.95</v>
      </c>
      <c r="CO32" s="28">
        <f t="shared" si="40"/>
        <v>-0.95</v>
      </c>
      <c r="CP32" s="28">
        <f t="shared" si="40"/>
        <v>-0.95</v>
      </c>
      <c r="CQ32" s="28">
        <f t="shared" si="40"/>
        <v>-0.95</v>
      </c>
      <c r="CR32" s="28">
        <f t="shared" si="40"/>
        <v>-0.95</v>
      </c>
      <c r="CS32" s="28">
        <f t="shared" si="40"/>
        <v>-0.95</v>
      </c>
      <c r="CT32" s="28">
        <f t="shared" si="40"/>
        <v>-0.95</v>
      </c>
      <c r="CU32" s="28">
        <f t="shared" si="40"/>
        <v>-0.95</v>
      </c>
      <c r="CV32" s="28">
        <f t="shared" si="40"/>
        <v>-0.95</v>
      </c>
      <c r="CW32" s="28">
        <f t="shared" si="40"/>
        <v>-0.95</v>
      </c>
      <c r="CX32" s="28">
        <f t="shared" si="40"/>
        <v>-0.95</v>
      </c>
      <c r="CY32" s="28">
        <f t="shared" si="40"/>
        <v>-0.95</v>
      </c>
      <c r="CZ32" s="28">
        <f t="shared" si="40"/>
        <v>-0.95</v>
      </c>
      <c r="DA32" s="28">
        <f t="shared" si="40"/>
        <v>-0.95</v>
      </c>
      <c r="DB32" s="28">
        <f t="shared" si="40"/>
        <v>-0.95</v>
      </c>
      <c r="DC32" s="28">
        <f t="shared" si="40"/>
        <v>-0.95</v>
      </c>
      <c r="DD32" s="28">
        <f t="shared" si="40"/>
        <v>-0.95</v>
      </c>
      <c r="DE32" s="28">
        <f t="shared" si="40"/>
        <v>-0.95</v>
      </c>
      <c r="DF32" s="28">
        <f t="shared" si="40"/>
        <v>-0.95</v>
      </c>
      <c r="DG32" s="28">
        <f t="shared" si="40"/>
        <v>-0.95</v>
      </c>
      <c r="DH32" s="28">
        <f t="shared" si="40"/>
        <v>-0.95</v>
      </c>
      <c r="DI32" s="28">
        <f t="shared" si="40"/>
        <v>-0.95</v>
      </c>
      <c r="DJ32" s="28">
        <f t="shared" si="40"/>
        <v>-0.95</v>
      </c>
      <c r="DK32" s="7">
        <f t="shared" si="31"/>
        <v>0.0317097919837646</v>
      </c>
      <c r="DL32">
        <v>0</v>
      </c>
      <c r="DM32">
        <v>5</v>
      </c>
    </row>
    <row r="33" spans="1:117">
      <c r="A33">
        <v>2030</v>
      </c>
      <c r="B33" t="str">
        <f t="shared" si="32"/>
        <v>UCE_utilization_BSL_UP</v>
      </c>
      <c r="C33" t="s">
        <v>404</v>
      </c>
      <c r="D33" t="str">
        <f t="shared" si="28"/>
        <v>???BSL</v>
      </c>
      <c r="E33" s="51" t="s">
        <v>468</v>
      </c>
      <c r="F33" s="28">
        <f>MIN($F22:$DJ22)</f>
        <v>-0.9</v>
      </c>
      <c r="G33" s="28">
        <f t="shared" ref="G33:BR33" si="41">MIN($F22:$DJ22)</f>
        <v>-0.9</v>
      </c>
      <c r="H33" s="28">
        <f t="shared" si="41"/>
        <v>-0.9</v>
      </c>
      <c r="I33" s="28">
        <f t="shared" si="41"/>
        <v>-0.9</v>
      </c>
      <c r="J33" s="28">
        <f t="shared" si="41"/>
        <v>-0.9</v>
      </c>
      <c r="K33" s="28">
        <f t="shared" si="41"/>
        <v>-0.9</v>
      </c>
      <c r="L33" s="28">
        <f t="shared" si="41"/>
        <v>-0.9</v>
      </c>
      <c r="M33" s="28">
        <f t="shared" si="41"/>
        <v>-0.9</v>
      </c>
      <c r="N33" s="28">
        <f t="shared" si="41"/>
        <v>-0.9</v>
      </c>
      <c r="O33" s="28">
        <f t="shared" si="41"/>
        <v>-0.9</v>
      </c>
      <c r="P33" s="28">
        <f t="shared" si="41"/>
        <v>-0.9</v>
      </c>
      <c r="Q33" s="28">
        <f t="shared" si="41"/>
        <v>-0.9</v>
      </c>
      <c r="R33" s="28">
        <f t="shared" si="41"/>
        <v>-0.9</v>
      </c>
      <c r="S33" s="28">
        <f t="shared" si="41"/>
        <v>-0.9</v>
      </c>
      <c r="T33" s="28">
        <f t="shared" si="41"/>
        <v>-0.9</v>
      </c>
      <c r="U33" s="28">
        <f t="shared" si="41"/>
        <v>-0.9</v>
      </c>
      <c r="V33" s="28">
        <f t="shared" si="41"/>
        <v>-0.9</v>
      </c>
      <c r="W33" s="28">
        <f t="shared" si="41"/>
        <v>-0.9</v>
      </c>
      <c r="X33" s="28">
        <f t="shared" si="41"/>
        <v>-0.9</v>
      </c>
      <c r="Y33" s="28">
        <f t="shared" si="41"/>
        <v>-0.9</v>
      </c>
      <c r="Z33" s="28">
        <f t="shared" si="41"/>
        <v>-0.9</v>
      </c>
      <c r="AA33" s="28">
        <f t="shared" si="41"/>
        <v>-0.9</v>
      </c>
      <c r="AB33" s="28">
        <f t="shared" si="41"/>
        <v>-0.9</v>
      </c>
      <c r="AC33" s="28">
        <f t="shared" si="41"/>
        <v>-0.9</v>
      </c>
      <c r="AD33" s="28">
        <f t="shared" si="41"/>
        <v>-0.9</v>
      </c>
      <c r="AE33" s="28">
        <f t="shared" si="41"/>
        <v>-0.9</v>
      </c>
      <c r="AF33" s="28">
        <f t="shared" si="41"/>
        <v>-0.9</v>
      </c>
      <c r="AG33" s="28">
        <f t="shared" si="41"/>
        <v>-0.9</v>
      </c>
      <c r="AH33" s="28">
        <f t="shared" si="41"/>
        <v>-0.9</v>
      </c>
      <c r="AI33" s="28">
        <f t="shared" si="41"/>
        <v>-0.9</v>
      </c>
      <c r="AJ33" s="28">
        <f t="shared" si="41"/>
        <v>-0.9</v>
      </c>
      <c r="AK33" s="28">
        <f t="shared" si="41"/>
        <v>-0.9</v>
      </c>
      <c r="AL33" s="28">
        <f t="shared" si="41"/>
        <v>-0.9</v>
      </c>
      <c r="AM33" s="28">
        <f t="shared" si="41"/>
        <v>-0.9</v>
      </c>
      <c r="AN33" s="28">
        <f t="shared" si="41"/>
        <v>-0.9</v>
      </c>
      <c r="AO33" s="28">
        <f t="shared" si="41"/>
        <v>-0.9</v>
      </c>
      <c r="AP33" s="28">
        <f t="shared" si="41"/>
        <v>-0.9</v>
      </c>
      <c r="AQ33" s="28">
        <f t="shared" si="41"/>
        <v>-0.9</v>
      </c>
      <c r="AR33" s="28">
        <f t="shared" si="41"/>
        <v>-0.9</v>
      </c>
      <c r="AS33" s="28">
        <f t="shared" si="41"/>
        <v>-0.9</v>
      </c>
      <c r="AT33" s="28">
        <f t="shared" si="41"/>
        <v>-0.9</v>
      </c>
      <c r="AU33" s="28">
        <f t="shared" si="41"/>
        <v>-0.9</v>
      </c>
      <c r="AV33" s="28">
        <f t="shared" si="41"/>
        <v>-0.9</v>
      </c>
      <c r="AW33" s="28">
        <f t="shared" si="41"/>
        <v>-0.9</v>
      </c>
      <c r="AX33" s="28">
        <f t="shared" si="41"/>
        <v>-0.9</v>
      </c>
      <c r="AY33" s="28">
        <f t="shared" si="41"/>
        <v>-0.9</v>
      </c>
      <c r="AZ33" s="28">
        <f t="shared" si="41"/>
        <v>-0.9</v>
      </c>
      <c r="BA33" s="28">
        <f t="shared" si="41"/>
        <v>-0.9</v>
      </c>
      <c r="BB33" s="28">
        <f t="shared" si="41"/>
        <v>-0.9</v>
      </c>
      <c r="BC33" s="28">
        <f t="shared" si="41"/>
        <v>-0.9</v>
      </c>
      <c r="BD33" s="28">
        <f t="shared" si="41"/>
        <v>-0.9</v>
      </c>
      <c r="BE33" s="28">
        <f t="shared" si="41"/>
        <v>-0.9</v>
      </c>
      <c r="BF33" s="28">
        <f t="shared" si="41"/>
        <v>-0.9</v>
      </c>
      <c r="BG33" s="28">
        <f t="shared" si="41"/>
        <v>-0.9</v>
      </c>
      <c r="BH33" s="28">
        <f t="shared" si="41"/>
        <v>-0.9</v>
      </c>
      <c r="BI33" s="28">
        <f t="shared" si="41"/>
        <v>-0.9</v>
      </c>
      <c r="BJ33" s="28">
        <f t="shared" si="41"/>
        <v>-0.9</v>
      </c>
      <c r="BK33" s="28">
        <f t="shared" si="41"/>
        <v>-0.9</v>
      </c>
      <c r="BL33" s="28">
        <f t="shared" si="41"/>
        <v>-0.9</v>
      </c>
      <c r="BM33" s="28">
        <f t="shared" si="41"/>
        <v>-0.9</v>
      </c>
      <c r="BN33" s="28">
        <f t="shared" si="41"/>
        <v>-0.9</v>
      </c>
      <c r="BO33" s="28">
        <f t="shared" si="41"/>
        <v>-0.9</v>
      </c>
      <c r="BP33" s="28">
        <f t="shared" si="41"/>
        <v>-0.9</v>
      </c>
      <c r="BQ33" s="28">
        <f t="shared" si="41"/>
        <v>-0.9</v>
      </c>
      <c r="BR33" s="28">
        <f t="shared" si="41"/>
        <v>-0.9</v>
      </c>
      <c r="BS33" s="28">
        <f t="shared" ref="BS33:DJ33" si="42">MIN($F22:$DJ22)</f>
        <v>-0.9</v>
      </c>
      <c r="BT33" s="28">
        <f t="shared" si="42"/>
        <v>-0.9</v>
      </c>
      <c r="BU33" s="28">
        <f t="shared" si="42"/>
        <v>-0.9</v>
      </c>
      <c r="BV33" s="28">
        <f t="shared" si="42"/>
        <v>-0.9</v>
      </c>
      <c r="BW33" s="28">
        <f t="shared" si="42"/>
        <v>-0.9</v>
      </c>
      <c r="BX33" s="28">
        <f t="shared" si="42"/>
        <v>-0.9</v>
      </c>
      <c r="BY33" s="28">
        <f t="shared" si="42"/>
        <v>-0.9</v>
      </c>
      <c r="BZ33" s="28">
        <f t="shared" si="42"/>
        <v>-0.9</v>
      </c>
      <c r="CA33" s="28">
        <f t="shared" si="42"/>
        <v>-0.9</v>
      </c>
      <c r="CB33" s="28">
        <f t="shared" si="42"/>
        <v>-0.9</v>
      </c>
      <c r="CC33" s="28">
        <f t="shared" si="42"/>
        <v>-0.9</v>
      </c>
      <c r="CD33" s="28">
        <f t="shared" si="42"/>
        <v>-0.9</v>
      </c>
      <c r="CE33" s="28">
        <f t="shared" si="42"/>
        <v>-0.9</v>
      </c>
      <c r="CF33" s="28">
        <f t="shared" si="42"/>
        <v>-0.9</v>
      </c>
      <c r="CG33" s="28">
        <f t="shared" si="42"/>
        <v>-0.9</v>
      </c>
      <c r="CH33" s="28">
        <f t="shared" si="42"/>
        <v>-0.9</v>
      </c>
      <c r="CI33" s="28">
        <f t="shared" si="42"/>
        <v>-0.9</v>
      </c>
      <c r="CJ33" s="28">
        <f t="shared" si="42"/>
        <v>-0.9</v>
      </c>
      <c r="CK33" s="28">
        <f t="shared" si="42"/>
        <v>-0.9</v>
      </c>
      <c r="CL33" s="28">
        <f t="shared" si="42"/>
        <v>-0.9</v>
      </c>
      <c r="CM33" s="28">
        <f t="shared" si="42"/>
        <v>-0.9</v>
      </c>
      <c r="CN33" s="28">
        <f t="shared" si="42"/>
        <v>-0.9</v>
      </c>
      <c r="CO33" s="28">
        <f t="shared" si="42"/>
        <v>-0.9</v>
      </c>
      <c r="CP33" s="28">
        <f t="shared" si="42"/>
        <v>-0.9</v>
      </c>
      <c r="CQ33" s="28">
        <f t="shared" si="42"/>
        <v>-0.9</v>
      </c>
      <c r="CR33" s="28">
        <f t="shared" si="42"/>
        <v>-0.9</v>
      </c>
      <c r="CS33" s="28">
        <f t="shared" si="42"/>
        <v>-0.9</v>
      </c>
      <c r="CT33" s="28">
        <f t="shared" si="42"/>
        <v>-0.9</v>
      </c>
      <c r="CU33" s="28">
        <f t="shared" si="42"/>
        <v>-0.9</v>
      </c>
      <c r="CV33" s="28">
        <f t="shared" si="42"/>
        <v>-0.9</v>
      </c>
      <c r="CW33" s="28">
        <f t="shared" si="42"/>
        <v>-0.9</v>
      </c>
      <c r="CX33" s="28">
        <f t="shared" si="42"/>
        <v>-0.9</v>
      </c>
      <c r="CY33" s="28">
        <f t="shared" si="42"/>
        <v>-0.9</v>
      </c>
      <c r="CZ33" s="28">
        <f t="shared" si="42"/>
        <v>-0.9</v>
      </c>
      <c r="DA33" s="28">
        <f t="shared" si="42"/>
        <v>-0.9</v>
      </c>
      <c r="DB33" s="28">
        <f t="shared" si="42"/>
        <v>-0.9</v>
      </c>
      <c r="DC33" s="28">
        <f t="shared" si="42"/>
        <v>-0.9</v>
      </c>
      <c r="DD33" s="28">
        <f t="shared" si="42"/>
        <v>-0.9</v>
      </c>
      <c r="DE33" s="28">
        <f t="shared" si="42"/>
        <v>-0.9</v>
      </c>
      <c r="DF33" s="28">
        <f t="shared" si="42"/>
        <v>-0.9</v>
      </c>
      <c r="DG33" s="28">
        <f t="shared" si="42"/>
        <v>-0.9</v>
      </c>
      <c r="DH33" s="28">
        <f t="shared" si="42"/>
        <v>-0.9</v>
      </c>
      <c r="DI33" s="28">
        <f t="shared" si="42"/>
        <v>-0.9</v>
      </c>
      <c r="DJ33" s="28">
        <f t="shared" si="42"/>
        <v>-0.9</v>
      </c>
      <c r="DK33" s="7">
        <f t="shared" si="31"/>
        <v>0.0317097919837646</v>
      </c>
      <c r="DL33">
        <v>0</v>
      </c>
      <c r="DM33">
        <v>5</v>
      </c>
    </row>
    <row r="35" spans="2:2">
      <c r="B35" s="19" t="s">
        <v>471</v>
      </c>
    </row>
    <row r="37" spans="2:123">
      <c r="B37" s="22" t="s">
        <v>472</v>
      </c>
      <c r="C37" s="22"/>
      <c r="DS37" t="s">
        <v>473</v>
      </c>
    </row>
    <row r="38" spans="1:233">
      <c r="A38" s="25" t="s">
        <v>57</v>
      </c>
      <c r="B38" t="s">
        <v>4</v>
      </c>
      <c r="C38" t="s">
        <v>92</v>
      </c>
      <c r="D38" t="s">
        <v>265</v>
      </c>
      <c r="E38" t="s">
        <v>6</v>
      </c>
      <c r="F38" t="s">
        <v>152</v>
      </c>
      <c r="G38" t="s">
        <v>153</v>
      </c>
      <c r="H38" t="s">
        <v>154</v>
      </c>
      <c r="I38" t="s">
        <v>155</v>
      </c>
      <c r="J38" t="s">
        <v>156</v>
      </c>
      <c r="K38" t="s">
        <v>9</v>
      </c>
      <c r="L38" t="s">
        <v>10</v>
      </c>
      <c r="M38" t="s">
        <v>157</v>
      </c>
      <c r="N38" t="s">
        <v>158</v>
      </c>
      <c r="O38" t="s">
        <v>159</v>
      </c>
      <c r="P38" t="s">
        <v>160</v>
      </c>
      <c r="Q38" t="s">
        <v>161</v>
      </c>
      <c r="R38" t="s">
        <v>13</v>
      </c>
      <c r="S38" t="s">
        <v>162</v>
      </c>
      <c r="T38" t="s">
        <v>163</v>
      </c>
      <c r="U38" t="s">
        <v>164</v>
      </c>
      <c r="V38" t="s">
        <v>165</v>
      </c>
      <c r="W38" t="s">
        <v>14</v>
      </c>
      <c r="X38" t="s">
        <v>166</v>
      </c>
      <c r="Y38" t="s">
        <v>167</v>
      </c>
      <c r="Z38" t="s">
        <v>168</v>
      </c>
      <c r="AA38" t="s">
        <v>169</v>
      </c>
      <c r="AB38" t="s">
        <v>170</v>
      </c>
      <c r="AC38" t="s">
        <v>171</v>
      </c>
      <c r="AD38" t="s">
        <v>172</v>
      </c>
      <c r="AE38" t="s">
        <v>173</v>
      </c>
      <c r="AF38" t="s">
        <v>174</v>
      </c>
      <c r="AG38" t="s">
        <v>175</v>
      </c>
      <c r="AH38" t="s">
        <v>17</v>
      </c>
      <c r="AI38" t="s">
        <v>176</v>
      </c>
      <c r="AJ38" t="s">
        <v>18</v>
      </c>
      <c r="AK38" t="s">
        <v>177</v>
      </c>
      <c r="AL38" t="s">
        <v>178</v>
      </c>
      <c r="AM38" t="s">
        <v>179</v>
      </c>
      <c r="AN38" t="s">
        <v>21</v>
      </c>
      <c r="AO38" t="s">
        <v>22</v>
      </c>
      <c r="AP38" t="s">
        <v>180</v>
      </c>
      <c r="AQ38" t="s">
        <v>181</v>
      </c>
      <c r="AR38" t="s">
        <v>182</v>
      </c>
      <c r="AS38" t="s">
        <v>23</v>
      </c>
      <c r="AT38" t="s">
        <v>183</v>
      </c>
      <c r="AU38" t="s">
        <v>184</v>
      </c>
      <c r="AV38" t="s">
        <v>185</v>
      </c>
      <c r="AW38" t="s">
        <v>25</v>
      </c>
      <c r="AX38" t="s">
        <v>186</v>
      </c>
      <c r="AY38" t="s">
        <v>187</v>
      </c>
      <c r="AZ38" t="s">
        <v>188</v>
      </c>
      <c r="BA38" t="s">
        <v>189</v>
      </c>
      <c r="BB38" t="s">
        <v>190</v>
      </c>
      <c r="BC38" t="s">
        <v>191</v>
      </c>
      <c r="BD38" t="s">
        <v>192</v>
      </c>
      <c r="BE38" t="s">
        <v>193</v>
      </c>
      <c r="BF38" t="s">
        <v>194</v>
      </c>
      <c r="BG38" t="s">
        <v>195</v>
      </c>
      <c r="BH38" t="s">
        <v>196</v>
      </c>
      <c r="BI38" t="s">
        <v>197</v>
      </c>
      <c r="BJ38" t="s">
        <v>198</v>
      </c>
      <c r="BK38" t="s">
        <v>199</v>
      </c>
      <c r="BL38" t="s">
        <v>200</v>
      </c>
      <c r="BM38" t="s">
        <v>201</v>
      </c>
      <c r="BN38" t="s">
        <v>202</v>
      </c>
      <c r="BO38" t="s">
        <v>203</v>
      </c>
      <c r="BP38" t="s">
        <v>204</v>
      </c>
      <c r="BQ38" t="s">
        <v>205</v>
      </c>
      <c r="BR38" t="s">
        <v>206</v>
      </c>
      <c r="BS38" t="s">
        <v>207</v>
      </c>
      <c r="BT38" t="s">
        <v>208</v>
      </c>
      <c r="BU38" t="s">
        <v>29</v>
      </c>
      <c r="BV38" t="s">
        <v>209</v>
      </c>
      <c r="BW38" t="s">
        <v>210</v>
      </c>
      <c r="BX38" t="s">
        <v>211</v>
      </c>
      <c r="BY38" t="s">
        <v>212</v>
      </c>
      <c r="BZ38" t="s">
        <v>213</v>
      </c>
      <c r="CA38" t="s">
        <v>214</v>
      </c>
      <c r="CB38" t="s">
        <v>215</v>
      </c>
      <c r="CC38" t="s">
        <v>216</v>
      </c>
      <c r="CD38" t="s">
        <v>217</v>
      </c>
      <c r="CE38" t="s">
        <v>30</v>
      </c>
      <c r="CF38" t="s">
        <v>218</v>
      </c>
      <c r="CG38" t="s">
        <v>219</v>
      </c>
      <c r="CH38" t="s">
        <v>220</v>
      </c>
      <c r="CI38" t="s">
        <v>32</v>
      </c>
      <c r="CJ38" t="s">
        <v>33</v>
      </c>
      <c r="CK38" t="s">
        <v>221</v>
      </c>
      <c r="CL38" t="s">
        <v>222</v>
      </c>
      <c r="CM38" t="s">
        <v>223</v>
      </c>
      <c r="CN38" t="s">
        <v>224</v>
      </c>
      <c r="CO38" t="s">
        <v>34</v>
      </c>
      <c r="CP38" t="s">
        <v>225</v>
      </c>
      <c r="CQ38" t="s">
        <v>226</v>
      </c>
      <c r="CR38" t="s">
        <v>227</v>
      </c>
      <c r="CS38" t="s">
        <v>228</v>
      </c>
      <c r="CT38" t="s">
        <v>37</v>
      </c>
      <c r="CU38" t="s">
        <v>229</v>
      </c>
      <c r="CV38" t="s">
        <v>230</v>
      </c>
      <c r="CW38" t="s">
        <v>231</v>
      </c>
      <c r="CX38" t="s">
        <v>232</v>
      </c>
      <c r="CY38" t="s">
        <v>233</v>
      </c>
      <c r="CZ38" t="s">
        <v>38</v>
      </c>
      <c r="DA38" t="s">
        <v>234</v>
      </c>
      <c r="DB38" t="s">
        <v>235</v>
      </c>
      <c r="DC38" t="s">
        <v>39</v>
      </c>
      <c r="DD38" t="s">
        <v>40</v>
      </c>
      <c r="DE38" t="s">
        <v>236</v>
      </c>
      <c r="DF38" t="s">
        <v>237</v>
      </c>
      <c r="DG38" t="s">
        <v>238</v>
      </c>
      <c r="DH38" t="s">
        <v>239</v>
      </c>
      <c r="DI38" t="s">
        <v>240</v>
      </c>
      <c r="DJ38" t="s">
        <v>241</v>
      </c>
      <c r="DK38" s="25" t="s">
        <v>467</v>
      </c>
      <c r="DL38" s="25" t="s">
        <v>402</v>
      </c>
      <c r="DM38" s="25" t="s">
        <v>42</v>
      </c>
      <c r="DS38" s="25" t="str">
        <f>F38</f>
        <v>Albania</v>
      </c>
      <c r="DT38" s="25" t="str">
        <f t="shared" ref="DT38" si="43">G38</f>
        <v>Algeria</v>
      </c>
      <c r="DU38" s="25" t="str">
        <f t="shared" ref="DU38" si="44">H38</f>
        <v>Angola</v>
      </c>
      <c r="DV38" s="25" t="str">
        <f t="shared" ref="DV38" si="45">I38</f>
        <v>Argentina</v>
      </c>
      <c r="DW38" s="25" t="str">
        <f t="shared" ref="DW38" si="46">J38</f>
        <v>Armenia</v>
      </c>
      <c r="DX38" s="25" t="str">
        <f t="shared" ref="DX38" si="47">K38</f>
        <v>Australia</v>
      </c>
      <c r="DY38" s="25" t="str">
        <f t="shared" ref="DY38" si="48">L38</f>
        <v>Austria</v>
      </c>
      <c r="DZ38" s="25" t="str">
        <f t="shared" ref="DZ38" si="49">M38</f>
        <v>Azerbaijan</v>
      </c>
      <c r="EA38" s="25" t="str">
        <f t="shared" ref="EA38" si="50">N38</f>
        <v>Bangladesh</v>
      </c>
      <c r="EB38" s="25" t="str">
        <f t="shared" ref="EB38" si="51">O38</f>
        <v>Belarus</v>
      </c>
      <c r="EC38" s="25" t="str">
        <f t="shared" ref="EC38" si="52">P38</f>
        <v>Belgium</v>
      </c>
      <c r="ED38" s="25" t="str">
        <f t="shared" ref="ED38" si="53">Q38</f>
        <v>Bosnia_Herz</v>
      </c>
      <c r="EE38" s="25" t="str">
        <f t="shared" ref="EE38" si="54">R38</f>
        <v>Brazil</v>
      </c>
      <c r="EF38" s="25" t="str">
        <f t="shared" ref="EF38" si="55">S38</f>
        <v>Bulgaria</v>
      </c>
      <c r="EG38" s="25" t="str">
        <f t="shared" ref="EG38" si="56">T38</f>
        <v>Cameroon</v>
      </c>
      <c r="EH38" s="25" t="str">
        <f t="shared" ref="EH38" si="57">U38</f>
        <v>Canada</v>
      </c>
      <c r="EI38" s="25" t="str">
        <f t="shared" ref="EI38" si="58">V38</f>
        <v>Chile</v>
      </c>
      <c r="EJ38" s="25" t="str">
        <f t="shared" ref="EJ38" si="59">W38</f>
        <v>China</v>
      </c>
      <c r="EK38" s="25" t="str">
        <f t="shared" ref="EK38" si="60">X38</f>
        <v>Colombia</v>
      </c>
      <c r="EL38" s="25" t="str">
        <f t="shared" ref="EL38" si="61">Y38</f>
        <v>Croatia</v>
      </c>
      <c r="EM38" s="25" t="str">
        <f t="shared" ref="EM38" si="62">Z38</f>
        <v>Cyprus</v>
      </c>
      <c r="EN38" s="25" t="str">
        <f t="shared" ref="EN38" si="63">AA38</f>
        <v>Czech</v>
      </c>
      <c r="EO38" s="25" t="str">
        <f t="shared" ref="EO38" si="64">AB38</f>
        <v>Denmark</v>
      </c>
      <c r="EP38" s="25" t="str">
        <f t="shared" ref="EP38" si="65">AC38</f>
        <v>DR_Congo</v>
      </c>
      <c r="EQ38" s="25" t="str">
        <f t="shared" ref="EQ38" si="66">AD38</f>
        <v>Egypt</v>
      </c>
      <c r="ER38" s="25" t="str">
        <f t="shared" ref="ER38" si="67">AE38</f>
        <v>Estonia</v>
      </c>
      <c r="ES38" s="25" t="str">
        <f t="shared" ref="ES38" si="68">AF38</f>
        <v>Ethiopia</v>
      </c>
      <c r="ET38" s="25" t="str">
        <f t="shared" ref="ET38" si="69">AG38</f>
        <v>Finland</v>
      </c>
      <c r="EU38" s="25" t="str">
        <f t="shared" ref="EU38" si="70">AH38</f>
        <v>France</v>
      </c>
      <c r="EV38" s="25" t="str">
        <f t="shared" ref="EV38" si="71">AI38</f>
        <v>Georgia</v>
      </c>
      <c r="EW38" s="25" t="str">
        <f t="shared" ref="EW38" si="72">AJ38</f>
        <v>Germany</v>
      </c>
      <c r="EX38" s="25" t="str">
        <f t="shared" ref="EX38" si="73">AK38</f>
        <v>Ghana</v>
      </c>
      <c r="EY38" s="25" t="str">
        <f t="shared" ref="EY38" si="74">AL38</f>
        <v>Greece</v>
      </c>
      <c r="EZ38" s="25" t="str">
        <f t="shared" ref="EZ38" si="75">AM38</f>
        <v>Hungary</v>
      </c>
      <c r="FA38" s="25" t="str">
        <f t="shared" ref="FA38" si="76">AN38</f>
        <v>Iceland</v>
      </c>
      <c r="FB38" s="25" t="str">
        <f t="shared" ref="FB38" si="77">AO38</f>
        <v>India</v>
      </c>
      <c r="FC38" s="25" t="str">
        <f t="shared" ref="FC38" si="78">AP38</f>
        <v>Indonesia</v>
      </c>
      <c r="FD38" s="25" t="str">
        <f t="shared" ref="FD38" si="79">AQ38</f>
        <v>Iran</v>
      </c>
      <c r="FE38" s="25" t="str">
        <f t="shared" ref="FE38" si="80">AR38</f>
        <v>Iraq</v>
      </c>
      <c r="FF38" s="25" t="str">
        <f t="shared" ref="FF38" si="81">AS38</f>
        <v>Ireland</v>
      </c>
      <c r="FG38" s="25" t="str">
        <f t="shared" ref="FG38" si="82">AT38</f>
        <v>Israel</v>
      </c>
      <c r="FH38" s="25" t="str">
        <f t="shared" ref="FH38" si="83">AU38</f>
        <v>Italy</v>
      </c>
      <c r="FI38" s="25" t="str">
        <f t="shared" ref="FI38" si="84">AV38</f>
        <v>IvoryCoast</v>
      </c>
      <c r="FJ38" s="25" t="str">
        <f t="shared" ref="FJ38" si="85">AW38</f>
        <v>Japan</v>
      </c>
      <c r="FK38" s="25" t="str">
        <f t="shared" ref="FK38" si="86">AX38</f>
        <v>Kazakhstan</v>
      </c>
      <c r="FL38" s="25" t="str">
        <f t="shared" ref="FL38" si="87">AY38</f>
        <v>Kenya</v>
      </c>
      <c r="FM38" s="25" t="str">
        <f t="shared" ref="FM38" si="88">AZ38</f>
        <v>Kosovo</v>
      </c>
      <c r="FN38" s="25" t="str">
        <f t="shared" ref="FN38" si="89">BA38</f>
        <v>Kuwait</v>
      </c>
      <c r="FO38" s="25" t="str">
        <f t="shared" ref="FO38" si="90">BB38</f>
        <v>Kyrgyzstan</v>
      </c>
      <c r="FP38" s="25" t="str">
        <f t="shared" ref="FP38" si="91">BC38</f>
        <v>Latvia</v>
      </c>
      <c r="FQ38" s="25" t="str">
        <f t="shared" ref="FQ38" si="92">BD38</f>
        <v>Libya</v>
      </c>
      <c r="FR38" s="25" t="str">
        <f t="shared" ref="FR38" si="93">BE38</f>
        <v>Lithuania</v>
      </c>
      <c r="FS38" s="25" t="str">
        <f t="shared" ref="FS38" si="94">BF38</f>
        <v>Luxembourg</v>
      </c>
      <c r="FT38" s="25" t="str">
        <f t="shared" ref="FT38" si="95">BG38</f>
        <v>Macedonia</v>
      </c>
      <c r="FU38" s="25" t="str">
        <f t="shared" ref="FU38" si="96">BH38</f>
        <v>Malaysia</v>
      </c>
      <c r="FV38" s="25" t="str">
        <f t="shared" ref="FV38" si="97">BI38</f>
        <v>Malta</v>
      </c>
      <c r="FW38" s="25" t="str">
        <f t="shared" ref="FW38" si="98">BJ38</f>
        <v>Mexico</v>
      </c>
      <c r="FX38" s="25" t="str">
        <f t="shared" ref="FX38" si="99">BK38</f>
        <v>Moldova</v>
      </c>
      <c r="FY38" s="25" t="str">
        <f t="shared" ref="FY38" si="100">BL38</f>
        <v>Montenegro</v>
      </c>
      <c r="FZ38" s="25" t="str">
        <f t="shared" ref="FZ38" si="101">BM38</f>
        <v>Morocco</v>
      </c>
      <c r="GA38" s="25" t="str">
        <f t="shared" ref="GA38" si="102">BN38</f>
        <v>Mozambique</v>
      </c>
      <c r="GB38" s="25" t="str">
        <f t="shared" ref="GB38" si="103">BO38</f>
        <v>Myanmar</v>
      </c>
      <c r="GC38" s="25" t="str">
        <f t="shared" ref="GC38" si="104">BP38</f>
        <v>Nepal</v>
      </c>
      <c r="GD38" s="25" t="str">
        <f t="shared" ref="GD38" si="105">BQ38</f>
        <v>Netherlands</v>
      </c>
      <c r="GE38" s="25" t="str">
        <f t="shared" ref="GE38" si="106">BR38</f>
        <v>NewZealand</v>
      </c>
      <c r="GF38" s="25" t="str">
        <f t="shared" ref="GF38" si="107">BS38</f>
        <v>Niger</v>
      </c>
      <c r="GG38" s="25" t="str">
        <f t="shared" ref="GG38" si="108">BT38</f>
        <v>Nigeria</v>
      </c>
      <c r="GH38" s="25" t="str">
        <f t="shared" ref="GH38" si="109">BU38</f>
        <v>Norway</v>
      </c>
      <c r="GI38" s="25" t="str">
        <f t="shared" ref="GI38" si="110">BV38</f>
        <v>Oman</v>
      </c>
      <c r="GJ38" s="25" t="str">
        <f t="shared" ref="GJ38" si="111">BW38</f>
        <v>Other_Africa</v>
      </c>
      <c r="GK38" s="25" t="str">
        <f t="shared" ref="GK38" si="112">BX38</f>
        <v>Other_AsiaEm</v>
      </c>
      <c r="GL38" s="25" t="str">
        <f t="shared" ref="GL38" si="113">BY38</f>
        <v>Other_EurDev</v>
      </c>
      <c r="GM38" s="25" t="str">
        <f t="shared" ref="GM38" si="114">BZ38</f>
        <v>Other_LatAm</v>
      </c>
      <c r="GN38" s="25" t="str">
        <f t="shared" ref="GN38" si="115">CA38</f>
        <v>Other_MidEast</v>
      </c>
      <c r="GO38" s="25" t="str">
        <f t="shared" ref="GO38" si="116">CB38</f>
        <v>Pakistan</v>
      </c>
      <c r="GP38" s="25" t="str">
        <f t="shared" ref="GP38" si="117">CC38</f>
        <v>Peru</v>
      </c>
      <c r="GQ38" s="25" t="str">
        <f t="shared" ref="GQ38" si="118">CD38</f>
        <v>Philippines</v>
      </c>
      <c r="GR38" s="25" t="str">
        <f t="shared" ref="GR38" si="119">CE38</f>
        <v>Poland</v>
      </c>
      <c r="GS38" s="25" t="str">
        <f t="shared" ref="GS38" si="120">CF38</f>
        <v>Portugal</v>
      </c>
      <c r="GT38" s="25" t="str">
        <f t="shared" ref="GT38" si="121">CG38</f>
        <v>Qatar</v>
      </c>
      <c r="GU38" s="25" t="str">
        <f t="shared" ref="GU38" si="122">CH38</f>
        <v>Romania</v>
      </c>
      <c r="GV38" s="25" t="str">
        <f t="shared" ref="GV38" si="123">CI38</f>
        <v>Russia</v>
      </c>
      <c r="GW38" s="25" t="str">
        <f t="shared" ref="GW38" si="124">CJ38</f>
        <v>SaudiArabia</v>
      </c>
      <c r="GX38" s="25" t="str">
        <f t="shared" ref="GX38" si="125">CK38</f>
        <v>Serbia</v>
      </c>
      <c r="GY38" s="25" t="str">
        <f t="shared" ref="GY38" si="126">CL38</f>
        <v>Singapore</v>
      </c>
      <c r="GZ38" s="25" t="str">
        <f t="shared" ref="GZ38" si="127">CM38</f>
        <v>Slovak</v>
      </c>
      <c r="HA38" s="25" t="str">
        <f t="shared" ref="HA38" si="128">CN38</f>
        <v>Slovenia</v>
      </c>
      <c r="HB38" s="25" t="str">
        <f t="shared" ref="HB38" si="129">CO38</f>
        <v>SouthAfrica</v>
      </c>
      <c r="HC38" s="25" t="str">
        <f t="shared" ref="HC38" si="130">CP38</f>
        <v>SouthKorea</v>
      </c>
      <c r="HD38" s="25" t="str">
        <f t="shared" ref="HD38" si="131">CQ38</f>
        <v>Spain</v>
      </c>
      <c r="HE38" s="25" t="str">
        <f t="shared" ref="HE38" si="132">CR38</f>
        <v>Sudan</v>
      </c>
      <c r="HF38" s="25" t="str">
        <f t="shared" ref="HF38" si="133">CS38</f>
        <v>Sweden</v>
      </c>
      <c r="HG38" s="25" t="str">
        <f t="shared" ref="HG38" si="134">CT38</f>
        <v>Switzerland</v>
      </c>
      <c r="HH38" s="25" t="str">
        <f t="shared" ref="HH38" si="135">CU38</f>
        <v>Taiwan</v>
      </c>
      <c r="HI38" s="25" t="str">
        <f t="shared" ref="HI38" si="136">CV38</f>
        <v>Tajikistan</v>
      </c>
      <c r="HJ38" s="25" t="str">
        <f t="shared" ref="HJ38" si="137">CW38</f>
        <v>Tanzania</v>
      </c>
      <c r="HK38" s="25" t="str">
        <f t="shared" ref="HK38" si="138">CX38</f>
        <v>Thailand</v>
      </c>
      <c r="HL38" s="25" t="str">
        <f t="shared" ref="HL38" si="139">CY38</f>
        <v>Tunisia</v>
      </c>
      <c r="HM38" s="25" t="str">
        <f t="shared" ref="HM38" si="140">CZ38</f>
        <v>Turkey</v>
      </c>
      <c r="HN38" s="25" t="str">
        <f t="shared" ref="HN38" si="141">DA38</f>
        <v>Turkmenistan</v>
      </c>
      <c r="HO38" s="25" t="str">
        <f t="shared" ref="HO38" si="142">DB38</f>
        <v>UAE</v>
      </c>
      <c r="HP38" s="25" t="str">
        <f t="shared" ref="HP38" si="143">DC38</f>
        <v>UK</v>
      </c>
      <c r="HQ38" s="25" t="str">
        <f t="shared" ref="HQ38" si="144">DD38</f>
        <v>Ukraine</v>
      </c>
      <c r="HR38" s="25" t="str">
        <f t="shared" ref="HR38" si="145">DE38</f>
        <v>USA</v>
      </c>
      <c r="HS38" s="25" t="str">
        <f t="shared" ref="HS38" si="146">DF38</f>
        <v>Uzbekistan</v>
      </c>
      <c r="HT38" s="25" t="str">
        <f t="shared" ref="HT38" si="147">DG38</f>
        <v>Venezuela</v>
      </c>
      <c r="HU38" s="25" t="str">
        <f t="shared" ref="HU38" si="148">DH38</f>
        <v>Vietnam</v>
      </c>
      <c r="HV38" s="25" t="str">
        <f t="shared" ref="HV38" si="149">DI38</f>
        <v>Yemen</v>
      </c>
      <c r="HW38" s="25" t="str">
        <f t="shared" ref="HW38" si="150">DJ38</f>
        <v>Zambia</v>
      </c>
      <c r="HX38" t="s">
        <v>92</v>
      </c>
      <c r="HY38" t="s">
        <v>265</v>
      </c>
    </row>
    <row r="39" spans="1:233">
      <c r="A39">
        <v>2019</v>
      </c>
      <c r="B39" t="str">
        <f>"UCE_utilization_"&amp;D44&amp;"_LO"</f>
        <v>UCE_utilization_Coal_LO</v>
      </c>
      <c r="C39" t="s">
        <v>404</v>
      </c>
      <c r="D39" t="s">
        <v>474</v>
      </c>
      <c r="E39">
        <v>-0.03</v>
      </c>
      <c r="F39" s="7"/>
      <c r="G39" s="7"/>
      <c r="H39" s="7"/>
      <c r="I39" s="7">
        <v>-0.293409360730594</v>
      </c>
      <c r="J39" s="7"/>
      <c r="K39" s="7">
        <v>-0.598376220463033</v>
      </c>
      <c r="L39" s="7"/>
      <c r="M39" s="7"/>
      <c r="N39" s="7">
        <v>-0.26986553182917</v>
      </c>
      <c r="O39" s="7"/>
      <c r="P39" s="7"/>
      <c r="Q39" s="7">
        <v>-0.586153220612268</v>
      </c>
      <c r="R39" s="7">
        <v>-0.426310279939035</v>
      </c>
      <c r="S39" s="7"/>
      <c r="T39" s="7"/>
      <c r="U39" s="7">
        <v>-0.50299568006589</v>
      </c>
      <c r="V39" s="7">
        <v>-0.63295049796623</v>
      </c>
      <c r="W39" s="7">
        <v>-0.472536802427996</v>
      </c>
      <c r="X39" s="7">
        <v>-0.273809225195794</v>
      </c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>
        <v>-0.52512070009242</v>
      </c>
      <c r="AP39" s="7">
        <v>-0.533198312406349</v>
      </c>
      <c r="AQ39" s="7">
        <v>-0.183381929544663</v>
      </c>
      <c r="AR39" s="7"/>
      <c r="AS39" s="7"/>
      <c r="AT39" s="7">
        <v>-0.399684893769576</v>
      </c>
      <c r="AU39" s="7"/>
      <c r="AV39" s="7"/>
      <c r="AW39" s="7">
        <v>-0.649862254947675</v>
      </c>
      <c r="AX39" s="7"/>
      <c r="AY39" s="7"/>
      <c r="AZ39" s="7"/>
      <c r="BA39" s="7"/>
      <c r="BB39" s="7">
        <v>-0.129943289138288</v>
      </c>
      <c r="BC39" s="7"/>
      <c r="BD39" s="7"/>
      <c r="BE39" s="7"/>
      <c r="BF39" s="7"/>
      <c r="BG39" s="7">
        <v>-0.302819662410782</v>
      </c>
      <c r="BH39" s="7">
        <v>-0.649696799492412</v>
      </c>
      <c r="BI39" s="7"/>
      <c r="BJ39" s="7">
        <v>-0.326562772262462</v>
      </c>
      <c r="BK39" s="7"/>
      <c r="BL39" s="7">
        <v>-0.658548959918823</v>
      </c>
      <c r="BM39" s="7">
        <v>-0.566928255784559</v>
      </c>
      <c r="BN39" s="7"/>
      <c r="BO39" s="7">
        <v>-0.0160992479183454</v>
      </c>
      <c r="BP39" s="7"/>
      <c r="BQ39" s="7"/>
      <c r="BR39" s="7"/>
      <c r="BS39" s="7">
        <v>-0.569935271543768</v>
      </c>
      <c r="BT39" s="7"/>
      <c r="BU39" s="7"/>
      <c r="BV39" s="7"/>
      <c r="BW39" s="7">
        <v>-0.320603006420796</v>
      </c>
      <c r="BX39" s="7">
        <v>-0.288605198454514</v>
      </c>
      <c r="BY39" s="7"/>
      <c r="BZ39" s="7">
        <v>-0.546331235914865</v>
      </c>
      <c r="CA39" s="7"/>
      <c r="CB39" s="7"/>
      <c r="CC39" s="7">
        <v>-0.0110121765601218</v>
      </c>
      <c r="CD39" s="7">
        <v>-0.59675367501824</v>
      </c>
      <c r="CE39" s="7"/>
      <c r="CF39" s="7"/>
      <c r="CG39" s="7"/>
      <c r="CH39" s="7"/>
      <c r="CI39" s="7"/>
      <c r="CJ39" s="7"/>
      <c r="CK39" s="7"/>
      <c r="CL39" s="7">
        <v>-0.427763124308687</v>
      </c>
      <c r="CM39" s="7"/>
      <c r="CN39" s="7"/>
      <c r="CO39" s="7">
        <v>-0.478050564554038</v>
      </c>
      <c r="CP39" s="7">
        <v>-0.554420842193625</v>
      </c>
      <c r="CQ39" s="7"/>
      <c r="CR39" s="7"/>
      <c r="CS39" s="7"/>
      <c r="CT39" s="7"/>
      <c r="CU39" s="7">
        <v>-0.684198284334781</v>
      </c>
      <c r="CV39" s="7">
        <v>-0.106809931506849</v>
      </c>
      <c r="CW39" s="7"/>
      <c r="CX39" s="7">
        <v>-0.38627396738322</v>
      </c>
      <c r="CY39" s="7"/>
      <c r="CZ39" s="7"/>
      <c r="DA39" s="7"/>
      <c r="DB39" s="7"/>
      <c r="DC39" s="7">
        <v>-0.133018102132119</v>
      </c>
      <c r="DD39" s="7"/>
      <c r="DE39" s="7">
        <v>-0.451284796080409</v>
      </c>
      <c r="DH39">
        <v>-0.375095801978364</v>
      </c>
      <c r="DJ39">
        <v>-0.112909921129099</v>
      </c>
      <c r="DK39" s="7">
        <f>1/31.536</f>
        <v>0.0317097919837646</v>
      </c>
      <c r="DL39">
        <v>0</v>
      </c>
      <c r="DM39">
        <v>5</v>
      </c>
      <c r="DQ39" s="17">
        <v>0.5</v>
      </c>
      <c r="DS39" s="25">
        <f>-F39*$DQ$39</f>
        <v>0</v>
      </c>
      <c r="DT39" s="25">
        <f t="shared" ref="DT39:EF42" si="151">-G39*$DQ$39</f>
        <v>0</v>
      </c>
      <c r="DU39" s="25">
        <f t="shared" si="151"/>
        <v>0</v>
      </c>
      <c r="DV39" s="25">
        <f t="shared" si="151"/>
        <v>0.146704680365297</v>
      </c>
      <c r="DW39" s="25">
        <f t="shared" si="151"/>
        <v>0</v>
      </c>
      <c r="DX39" s="25">
        <f t="shared" si="151"/>
        <v>0.299188110231516</v>
      </c>
      <c r="DY39" s="25">
        <f t="shared" si="151"/>
        <v>0</v>
      </c>
      <c r="DZ39" s="25">
        <f t="shared" si="151"/>
        <v>0</v>
      </c>
      <c r="EA39" s="25">
        <f t="shared" si="151"/>
        <v>0.134932765914585</v>
      </c>
      <c r="EB39" s="25">
        <f t="shared" si="151"/>
        <v>0</v>
      </c>
      <c r="EC39" s="25">
        <f t="shared" si="151"/>
        <v>0</v>
      </c>
      <c r="ED39" s="25">
        <f t="shared" si="151"/>
        <v>0.293076610306134</v>
      </c>
      <c r="EE39" s="25">
        <f t="shared" si="151"/>
        <v>0.213155139969517</v>
      </c>
      <c r="EF39" s="25">
        <f t="shared" si="151"/>
        <v>0</v>
      </c>
      <c r="EG39" s="25">
        <f t="shared" ref="EG39:EG42" si="152">-T39*$DQ$39</f>
        <v>0</v>
      </c>
      <c r="EH39" s="25">
        <f t="shared" ref="EH39:EH42" si="153">-U39*$DQ$39</f>
        <v>0.251497840032945</v>
      </c>
      <c r="EI39" s="25">
        <f t="shared" ref="EI39:EI42" si="154">-V39*$DQ$39</f>
        <v>0.316475248983115</v>
      </c>
      <c r="EJ39" s="25">
        <f t="shared" ref="EJ39:EJ42" si="155">-W39*$DQ$39</f>
        <v>0.236268401213998</v>
      </c>
      <c r="EK39" s="25">
        <f t="shared" ref="EK39:EK42" si="156">-X39*$DQ$39</f>
        <v>0.136904612597897</v>
      </c>
      <c r="EL39" s="25">
        <f t="shared" ref="EL39:EL42" si="157">-Y39*$DQ$39</f>
        <v>0</v>
      </c>
      <c r="EM39" s="25">
        <f t="shared" ref="EM39:EM42" si="158">-Z39*$DQ$39</f>
        <v>0</v>
      </c>
      <c r="EN39" s="25">
        <f t="shared" ref="EN39:EN42" si="159">-AA39*$DQ$39</f>
        <v>0</v>
      </c>
      <c r="EO39" s="25">
        <f t="shared" ref="EO39:EO42" si="160">-AB39*$DQ$39</f>
        <v>0</v>
      </c>
      <c r="EP39" s="25">
        <f t="shared" ref="EP39:EP42" si="161">-AC39*$DQ$39</f>
        <v>0</v>
      </c>
      <c r="EQ39" s="25">
        <f t="shared" ref="EQ39:EQ42" si="162">-AD39*$DQ$39</f>
        <v>0</v>
      </c>
      <c r="ER39" s="25">
        <f t="shared" ref="ER39:ER42" si="163">-AE39*$DQ$39</f>
        <v>0</v>
      </c>
      <c r="ES39" s="25">
        <f t="shared" ref="ES39:ES42" si="164">-AF39*$DQ$39</f>
        <v>0</v>
      </c>
      <c r="ET39" s="25">
        <f t="shared" ref="ET39:ET42" si="165">-AG39*$DQ$39</f>
        <v>0</v>
      </c>
      <c r="EU39" s="25">
        <f t="shared" ref="EU39:EU42" si="166">-AH39*$DQ$39</f>
        <v>0</v>
      </c>
      <c r="EV39" s="25">
        <f t="shared" ref="EV39:EV42" si="167">-AI39*$DQ$39</f>
        <v>0</v>
      </c>
      <c r="EW39" s="25">
        <f t="shared" ref="EW39:EW42" si="168">-AJ39*$DQ$39</f>
        <v>0</v>
      </c>
      <c r="EX39" s="25">
        <f t="shared" ref="EX39:EX42" si="169">-AK39*$DQ$39</f>
        <v>0</v>
      </c>
      <c r="EY39" s="25">
        <f t="shared" ref="EY39:EY42" si="170">-AL39*$DQ$39</f>
        <v>0</v>
      </c>
      <c r="EZ39" s="25">
        <f t="shared" ref="EZ39:EZ42" si="171">-AM39*$DQ$39</f>
        <v>0</v>
      </c>
      <c r="FA39" s="25">
        <f t="shared" ref="FA39:FA42" si="172">-AN39*$DQ$39</f>
        <v>0</v>
      </c>
      <c r="FB39" s="25">
        <f t="shared" ref="FB39:FB42" si="173">-AO39*$DQ$39</f>
        <v>0.26256035004621</v>
      </c>
      <c r="FC39" s="25">
        <f t="shared" ref="FC39:FC42" si="174">-AP39*$DQ$39</f>
        <v>0.266599156203174</v>
      </c>
      <c r="FD39" s="25">
        <f t="shared" ref="FD39:FD42" si="175">-AQ39*$DQ$39</f>
        <v>0.0916909647723315</v>
      </c>
      <c r="FE39" s="25">
        <f t="shared" ref="FE39:FE42" si="176">-AR39*$DQ$39</f>
        <v>0</v>
      </c>
      <c r="FF39" s="25">
        <f t="shared" ref="FF39:FF42" si="177">-AS39*$DQ$39</f>
        <v>0</v>
      </c>
      <c r="FG39" s="25">
        <f t="shared" ref="FG39:FG42" si="178">-AT39*$DQ$39</f>
        <v>0.199842446884788</v>
      </c>
      <c r="FH39" s="25">
        <f t="shared" ref="FH39:FH42" si="179">-AU39*$DQ$39</f>
        <v>0</v>
      </c>
      <c r="FI39" s="25">
        <f t="shared" ref="FI39:FI42" si="180">-AV39*$DQ$39</f>
        <v>0</v>
      </c>
      <c r="FJ39" s="25">
        <f t="shared" ref="FJ39:FJ42" si="181">-AW39*$DQ$39</f>
        <v>0.324931127473838</v>
      </c>
      <c r="FK39" s="25">
        <f t="shared" ref="FK39:FK42" si="182">-AX39*$DQ$39</f>
        <v>0</v>
      </c>
      <c r="FL39" s="25">
        <f t="shared" ref="FL39:FL42" si="183">-AY39*$DQ$39</f>
        <v>0</v>
      </c>
      <c r="FM39" s="25">
        <f t="shared" ref="FM39:FM42" si="184">-AZ39*$DQ$39</f>
        <v>0</v>
      </c>
      <c r="FN39" s="25">
        <f t="shared" ref="FN39:FN42" si="185">-BA39*$DQ$39</f>
        <v>0</v>
      </c>
      <c r="FO39" s="25">
        <f t="shared" ref="FO39:FO42" si="186">-BB39*$DQ$39</f>
        <v>0.064971644569144</v>
      </c>
      <c r="FP39" s="25">
        <f t="shared" ref="FP39:FP42" si="187">-BC39*$DQ$39</f>
        <v>0</v>
      </c>
      <c r="FQ39" s="25">
        <f t="shared" ref="FQ39:FQ42" si="188">-BD39*$DQ$39</f>
        <v>0</v>
      </c>
      <c r="FR39" s="25">
        <f t="shared" ref="FR39:FR42" si="189">-BE39*$DQ$39</f>
        <v>0</v>
      </c>
      <c r="FS39" s="25">
        <f t="shared" ref="FS39:FS42" si="190">-BF39*$DQ$39</f>
        <v>0</v>
      </c>
      <c r="FT39" s="25">
        <f t="shared" ref="FT39:FT42" si="191">-BG39*$DQ$39</f>
        <v>0.151409831205391</v>
      </c>
      <c r="FU39" s="25">
        <f t="shared" ref="FU39:FU42" si="192">-BH39*$DQ$39</f>
        <v>0.324848399746206</v>
      </c>
      <c r="FV39" s="25">
        <f t="shared" ref="FV39:FV42" si="193">-BI39*$DQ$39</f>
        <v>0</v>
      </c>
      <c r="FW39" s="25">
        <f t="shared" ref="FW39:FW42" si="194">-BJ39*$DQ$39</f>
        <v>0.163281386131231</v>
      </c>
      <c r="FX39" s="25">
        <f t="shared" ref="FX39:FX42" si="195">-BK39*$DQ$39</f>
        <v>0</v>
      </c>
      <c r="FY39" s="25">
        <f t="shared" ref="FY39:FY42" si="196">-BL39*$DQ$39</f>
        <v>0.329274479959412</v>
      </c>
      <c r="FZ39" s="25">
        <f t="shared" ref="FZ39:FZ42" si="197">-BM39*$DQ$39</f>
        <v>0.283464127892279</v>
      </c>
      <c r="GA39" s="25">
        <f t="shared" ref="GA39:GA42" si="198">-BN39*$DQ$39</f>
        <v>0</v>
      </c>
      <c r="GB39" s="25">
        <f t="shared" ref="GB39:GB42" si="199">-BO39*$DQ$39</f>
        <v>0.0080496239591727</v>
      </c>
      <c r="GC39" s="25">
        <f t="shared" ref="GC39:GC42" si="200">-BP39*$DQ$39</f>
        <v>0</v>
      </c>
      <c r="GD39" s="25">
        <f t="shared" ref="GD39:GD42" si="201">-BQ39*$DQ$39</f>
        <v>0</v>
      </c>
      <c r="GE39" s="25">
        <f t="shared" ref="GE39:GE42" si="202">-BR39*$DQ$39</f>
        <v>0</v>
      </c>
      <c r="GF39" s="25">
        <f t="shared" ref="GF39:GF42" si="203">-BS39*$DQ$39</f>
        <v>0.284967635771884</v>
      </c>
      <c r="GG39" s="25">
        <f t="shared" ref="GG39:GG42" si="204">-BT39*$DQ$39</f>
        <v>0</v>
      </c>
      <c r="GH39" s="25">
        <f t="shared" ref="GH39:GH42" si="205">-BU39*$DQ$39</f>
        <v>0</v>
      </c>
      <c r="GI39" s="25">
        <f t="shared" ref="GI39:GI42" si="206">-BV39*$DQ$39</f>
        <v>0</v>
      </c>
      <c r="GJ39" s="25">
        <f t="shared" ref="GJ39:GJ42" si="207">-BW39*$DQ$39</f>
        <v>0.160301503210398</v>
      </c>
      <c r="GK39" s="25">
        <f t="shared" ref="GK39:GK42" si="208">-BX39*$DQ$39</f>
        <v>0.144302599227257</v>
      </c>
      <c r="GL39" s="25">
        <f t="shared" ref="GL39:GL42" si="209">-BY39*$DQ$39</f>
        <v>0</v>
      </c>
      <c r="GM39" s="25">
        <f t="shared" ref="GM39:GM42" si="210">-BZ39*$DQ$39</f>
        <v>0.273165617957432</v>
      </c>
      <c r="GN39" s="25">
        <f t="shared" ref="GN39:GN42" si="211">-CA39*$DQ$39</f>
        <v>0</v>
      </c>
      <c r="GO39" s="25">
        <f t="shared" ref="GO39:GO42" si="212">-CB39*$DQ$39</f>
        <v>0</v>
      </c>
      <c r="GP39" s="25">
        <f t="shared" ref="GP39:GP42" si="213">-CC39*$DQ$39</f>
        <v>0.0055060882800609</v>
      </c>
      <c r="GQ39" s="25">
        <f t="shared" ref="GQ39:GQ42" si="214">-CD39*$DQ$39</f>
        <v>0.29837683750912</v>
      </c>
      <c r="GR39" s="25">
        <f t="shared" ref="GR39:GR42" si="215">-CE39*$DQ$39</f>
        <v>0</v>
      </c>
      <c r="GS39" s="25">
        <f t="shared" ref="GS39:GS42" si="216">-CF39*$DQ$39</f>
        <v>0</v>
      </c>
      <c r="GT39" s="25">
        <f t="shared" ref="GT39:GT42" si="217">-CG39*$DQ$39</f>
        <v>0</v>
      </c>
      <c r="GU39" s="25">
        <f t="shared" ref="GU39:GU42" si="218">-CH39*$DQ$39</f>
        <v>0</v>
      </c>
      <c r="GV39" s="25">
        <f t="shared" ref="GV39:GV42" si="219">-CI39*$DQ$39</f>
        <v>0</v>
      </c>
      <c r="GW39" s="25">
        <f t="shared" ref="GW39:GW42" si="220">-CJ39*$DQ$39</f>
        <v>0</v>
      </c>
      <c r="GX39" s="25">
        <f t="shared" ref="GX39:GX42" si="221">-CK39*$DQ$39</f>
        <v>0</v>
      </c>
      <c r="GY39" s="25">
        <f t="shared" ref="GY39:GY42" si="222">-CL39*$DQ$39</f>
        <v>0.213881562154344</v>
      </c>
      <c r="GZ39" s="25">
        <f t="shared" ref="GZ39:GZ42" si="223">-CM39*$DQ$39</f>
        <v>0</v>
      </c>
      <c r="HA39" s="25">
        <f t="shared" ref="HA39:HA42" si="224">-CN39*$DQ$39</f>
        <v>0</v>
      </c>
      <c r="HB39" s="25">
        <f t="shared" ref="HB39:HB42" si="225">-CO39*$DQ$39</f>
        <v>0.239025282277019</v>
      </c>
      <c r="HC39" s="25">
        <f t="shared" ref="HC39:HC42" si="226">-CP39*$DQ$39</f>
        <v>0.277210421096812</v>
      </c>
      <c r="HD39" s="25">
        <f t="shared" ref="HD39:HD42" si="227">-CQ39*$DQ$39</f>
        <v>0</v>
      </c>
      <c r="HE39" s="25">
        <f t="shared" ref="HE39:HE42" si="228">-CR39*$DQ$39</f>
        <v>0</v>
      </c>
      <c r="HF39" s="25">
        <f t="shared" ref="HF39:HF42" si="229">-CS39*$DQ$39</f>
        <v>0</v>
      </c>
      <c r="HG39" s="25">
        <f t="shared" ref="HG39:HG42" si="230">-CT39*$DQ$39</f>
        <v>0</v>
      </c>
      <c r="HH39" s="25">
        <f t="shared" ref="HH39:HH42" si="231">-CU39*$DQ$39</f>
        <v>0.342099142167391</v>
      </c>
      <c r="HI39" s="25">
        <f t="shared" ref="HI39:HI42" si="232">-CV39*$DQ$39</f>
        <v>0.0534049657534245</v>
      </c>
      <c r="HJ39" s="25">
        <f t="shared" ref="HJ39:HJ42" si="233">-CW39*$DQ$39</f>
        <v>0</v>
      </c>
      <c r="HK39" s="25">
        <f t="shared" ref="HK39:HK42" si="234">-CX39*$DQ$39</f>
        <v>0.19313698369161</v>
      </c>
      <c r="HL39" s="25">
        <f t="shared" ref="HL39:HL42" si="235">-CY39*$DQ$39</f>
        <v>0</v>
      </c>
      <c r="HM39" s="25">
        <f t="shared" ref="HM39:HM42" si="236">-CZ39*$DQ$39</f>
        <v>0</v>
      </c>
      <c r="HN39" s="25">
        <f t="shared" ref="HN39:HN42" si="237">-DA39*$DQ$39</f>
        <v>0</v>
      </c>
      <c r="HO39" s="25">
        <f t="shared" ref="HO39:HO42" si="238">-DB39*$DQ$39</f>
        <v>0</v>
      </c>
      <c r="HP39" s="25">
        <f t="shared" ref="HP39:HP42" si="239">-DC39*$DQ$39</f>
        <v>0.0665090510660595</v>
      </c>
      <c r="HQ39" s="25">
        <f t="shared" ref="HQ39:HQ42" si="240">-DD39*$DQ$39</f>
        <v>0</v>
      </c>
      <c r="HR39" s="25">
        <f t="shared" ref="HR39:HR42" si="241">-DE39*$DQ$39</f>
        <v>0.225642398040205</v>
      </c>
      <c r="HS39" s="25">
        <f t="shared" ref="HS39:HS42" si="242">-DF39*$DQ$39</f>
        <v>0</v>
      </c>
      <c r="HT39" s="25">
        <f t="shared" ref="HT39:HT42" si="243">-DG39*$DQ$39</f>
        <v>0</v>
      </c>
      <c r="HU39" s="25">
        <f t="shared" ref="HU39:HU42" si="244">-DH39*$DQ$39</f>
        <v>0.187547900989182</v>
      </c>
      <c r="HV39" s="25">
        <f t="shared" ref="HV39:HV42" si="245">-DI39*$DQ$39</f>
        <v>0</v>
      </c>
      <c r="HW39" s="25">
        <f t="shared" ref="HW39:HW42" si="246">-DJ39*$DQ$39</f>
        <v>0.0564549605645495</v>
      </c>
      <c r="HX39" t="s">
        <v>404</v>
      </c>
      <c r="HY39" t="s">
        <v>474</v>
      </c>
    </row>
    <row r="40" spans="1:233">
      <c r="A40">
        <v>2019</v>
      </c>
      <c r="B40" t="str">
        <f>"UCE_utilization_"&amp;D45&amp;"_LO"</f>
        <v>UCE_utilization_Nat Gas_LO</v>
      </c>
      <c r="C40" t="s">
        <v>404</v>
      </c>
      <c r="D40" t="s">
        <v>475</v>
      </c>
      <c r="E40">
        <v>-0.03</v>
      </c>
      <c r="G40" s="7">
        <v>-0.384533982698091</v>
      </c>
      <c r="H40" s="7">
        <v>-0.0214716038498274</v>
      </c>
      <c r="I40" s="7">
        <v>-0.459733967260922</v>
      </c>
      <c r="J40" s="7">
        <v>-0.143161226025002</v>
      </c>
      <c r="K40" s="7">
        <v>-0.233579567101517</v>
      </c>
      <c r="L40" s="7"/>
      <c r="M40" s="7"/>
      <c r="N40" s="7">
        <v>-0.484395902537849</v>
      </c>
      <c r="O40" s="7"/>
      <c r="P40" s="7"/>
      <c r="Q40" s="7">
        <v>-0.0111588710793306</v>
      </c>
      <c r="R40" s="7">
        <v>-0.224790419850812</v>
      </c>
      <c r="S40" s="7"/>
      <c r="T40" s="7">
        <v>-0.432717066639201</v>
      </c>
      <c r="U40" s="7">
        <v>-0.332051499958549</v>
      </c>
      <c r="V40" s="7">
        <v>-0.271805865965733</v>
      </c>
      <c r="W40" s="7">
        <v>-0.269711414579967</v>
      </c>
      <c r="X40" s="7">
        <v>-0.351942679306793</v>
      </c>
      <c r="Y40" s="7"/>
      <c r="Z40" s="7"/>
      <c r="AA40" s="7"/>
      <c r="AB40" s="7"/>
      <c r="AC40" s="7"/>
      <c r="AD40" s="7">
        <v>-0.332180515720349</v>
      </c>
      <c r="AE40" s="7"/>
      <c r="AF40" s="7"/>
      <c r="AG40" s="7"/>
      <c r="AH40" s="7"/>
      <c r="AI40" s="7">
        <v>-0.228464117423413</v>
      </c>
      <c r="AJ40" s="7"/>
      <c r="AK40" s="7">
        <v>-0.200217012033378</v>
      </c>
      <c r="AL40" s="7"/>
      <c r="AM40" s="7"/>
      <c r="AN40" s="7"/>
      <c r="AO40" s="7">
        <v>-0.24104621623857</v>
      </c>
      <c r="AP40" s="7">
        <v>-0.328900519675922</v>
      </c>
      <c r="AQ40" s="7">
        <v>-0.725549806608118</v>
      </c>
      <c r="AR40" s="7"/>
      <c r="AS40" s="7"/>
      <c r="AT40" s="7">
        <v>-0.353657235522554</v>
      </c>
      <c r="AU40" s="7"/>
      <c r="AV40" s="7">
        <v>-0.849320712757731</v>
      </c>
      <c r="AW40" s="7">
        <v>-0.508052285448655</v>
      </c>
      <c r="AX40" s="7"/>
      <c r="AY40" s="7"/>
      <c r="AZ40" s="7"/>
      <c r="BA40" s="7">
        <v>-0.41403249168567</v>
      </c>
      <c r="BB40" s="7"/>
      <c r="BC40" s="7"/>
      <c r="BD40" s="7">
        <v>-0.36256416569672</v>
      </c>
      <c r="BE40" s="7"/>
      <c r="BF40" s="7"/>
      <c r="BG40" s="7">
        <v>-0.0832287289199367</v>
      </c>
      <c r="BH40" s="7">
        <v>-0.394838008163054</v>
      </c>
      <c r="BI40" s="7">
        <v>-0.410457042147472</v>
      </c>
      <c r="BJ40" s="7">
        <v>-0.595796176216582</v>
      </c>
      <c r="BK40" s="7"/>
      <c r="BL40" s="7"/>
      <c r="BM40" s="7">
        <v>-0.0939329358431063</v>
      </c>
      <c r="BN40" s="7">
        <v>-0.0129622481023366</v>
      </c>
      <c r="BO40" s="7">
        <v>-0.41461972074467</v>
      </c>
      <c r="BP40" s="7"/>
      <c r="BQ40" s="7"/>
      <c r="BR40" s="7">
        <v>-0.420683240317944</v>
      </c>
      <c r="BS40" s="7">
        <v>-0.204180256577517</v>
      </c>
      <c r="BT40" s="7">
        <v>-0.225221320509495</v>
      </c>
      <c r="BU40" s="7"/>
      <c r="BV40" s="7">
        <v>-0.413085256474327</v>
      </c>
      <c r="BW40" s="7">
        <v>-0.258145333334274</v>
      </c>
      <c r="BX40" s="7">
        <v>-0.457937971664299</v>
      </c>
      <c r="BY40" s="7">
        <v>-0.0514840182648402</v>
      </c>
      <c r="BZ40" s="7">
        <v>-0.398888033067475</v>
      </c>
      <c r="CA40" s="7">
        <v>-0.39225911049219</v>
      </c>
      <c r="CB40" s="7"/>
      <c r="CC40" s="7">
        <v>-0.281100250541319</v>
      </c>
      <c r="CD40" s="7">
        <v>-0.617494569152788</v>
      </c>
      <c r="CE40" s="7"/>
      <c r="CF40" s="7"/>
      <c r="CG40" s="7">
        <v>-0.400867428588722</v>
      </c>
      <c r="CH40" s="7"/>
      <c r="CI40" s="7"/>
      <c r="CJ40" s="7">
        <v>-0.448578812652938</v>
      </c>
      <c r="CK40" s="7"/>
      <c r="CL40" s="7">
        <v>-0.42702196217914</v>
      </c>
      <c r="CM40" s="7"/>
      <c r="CN40" s="7"/>
      <c r="CO40" s="7"/>
      <c r="CP40" s="7">
        <v>-0.345082359243594</v>
      </c>
      <c r="CQ40" s="7"/>
      <c r="CR40" s="7"/>
      <c r="CS40" s="7"/>
      <c r="CT40" s="7">
        <v>-0.242278866346839</v>
      </c>
      <c r="CU40" s="7">
        <v>-0.465795298788684</v>
      </c>
      <c r="CV40" s="7">
        <v>-0.0136411935326384</v>
      </c>
      <c r="CW40" s="7">
        <v>-0.472545466629136</v>
      </c>
      <c r="CX40" s="7">
        <v>-0.381850347665378</v>
      </c>
      <c r="CY40" s="7">
        <v>-0.467180710385229</v>
      </c>
      <c r="CZ40" s="7"/>
      <c r="DA40" s="7">
        <v>-0.38663476367595</v>
      </c>
      <c r="DB40" s="7">
        <v>-0.432657458440094</v>
      </c>
      <c r="DC40" s="7">
        <v>-0.313746895364757</v>
      </c>
      <c r="DD40" s="7"/>
      <c r="DE40" s="7">
        <v>-0.286702524639805</v>
      </c>
      <c r="DG40">
        <v>-0.0755816220476104</v>
      </c>
      <c r="DH40">
        <v>-0.408721129192077</v>
      </c>
      <c r="DI40">
        <v>-0.105451331699675</v>
      </c>
      <c r="DK40" s="7">
        <f t="shared" ref="DK40:DK42" si="247">1/31.536</f>
        <v>0.0317097919837646</v>
      </c>
      <c r="DL40">
        <v>0</v>
      </c>
      <c r="DM40">
        <v>5</v>
      </c>
      <c r="DS40" s="25">
        <f>-F40*$DQ$39</f>
        <v>0</v>
      </c>
      <c r="DT40" s="25">
        <f t="shared" si="151"/>
        <v>0.192266991349046</v>
      </c>
      <c r="DU40" s="25">
        <f t="shared" si="151"/>
        <v>0.0107358019249137</v>
      </c>
      <c r="DV40" s="25">
        <f t="shared" si="151"/>
        <v>0.229866983630461</v>
      </c>
      <c r="DW40" s="25">
        <f t="shared" si="151"/>
        <v>0.071580613012501</v>
      </c>
      <c r="DX40" s="25">
        <f t="shared" si="151"/>
        <v>0.116789783550759</v>
      </c>
      <c r="DY40" s="25">
        <f t="shared" si="151"/>
        <v>0</v>
      </c>
      <c r="DZ40" s="25">
        <f t="shared" si="151"/>
        <v>0</v>
      </c>
      <c r="EA40" s="25">
        <f t="shared" si="151"/>
        <v>0.242197951268924</v>
      </c>
      <c r="EB40" s="25">
        <f t="shared" si="151"/>
        <v>0</v>
      </c>
      <c r="EC40" s="25">
        <f t="shared" si="151"/>
        <v>0</v>
      </c>
      <c r="ED40" s="25">
        <f t="shared" si="151"/>
        <v>0.0055794355396653</v>
      </c>
      <c r="EE40" s="25">
        <f t="shared" si="151"/>
        <v>0.112395209925406</v>
      </c>
      <c r="EF40" s="25">
        <f t="shared" si="151"/>
        <v>0</v>
      </c>
      <c r="EG40" s="25">
        <f t="shared" si="152"/>
        <v>0.216358533319601</v>
      </c>
      <c r="EH40" s="25">
        <f t="shared" si="153"/>
        <v>0.166025749979274</v>
      </c>
      <c r="EI40" s="25">
        <f t="shared" si="154"/>
        <v>0.135902932982866</v>
      </c>
      <c r="EJ40" s="25">
        <f t="shared" si="155"/>
        <v>0.134855707289984</v>
      </c>
      <c r="EK40" s="25">
        <f t="shared" si="156"/>
        <v>0.175971339653397</v>
      </c>
      <c r="EL40" s="25">
        <f t="shared" si="157"/>
        <v>0</v>
      </c>
      <c r="EM40" s="25">
        <f t="shared" si="158"/>
        <v>0</v>
      </c>
      <c r="EN40" s="25">
        <f t="shared" si="159"/>
        <v>0</v>
      </c>
      <c r="EO40" s="25">
        <f t="shared" si="160"/>
        <v>0</v>
      </c>
      <c r="EP40" s="25">
        <f t="shared" si="161"/>
        <v>0</v>
      </c>
      <c r="EQ40" s="25">
        <f t="shared" si="162"/>
        <v>0.166090257860175</v>
      </c>
      <c r="ER40" s="25">
        <f t="shared" si="163"/>
        <v>0</v>
      </c>
      <c r="ES40" s="25">
        <f t="shared" si="164"/>
        <v>0</v>
      </c>
      <c r="ET40" s="25">
        <f t="shared" si="165"/>
        <v>0</v>
      </c>
      <c r="EU40" s="25">
        <f t="shared" si="166"/>
        <v>0</v>
      </c>
      <c r="EV40" s="25">
        <f t="shared" si="167"/>
        <v>0.114232058711706</v>
      </c>
      <c r="EW40" s="25">
        <f t="shared" si="168"/>
        <v>0</v>
      </c>
      <c r="EX40" s="25">
        <f t="shared" si="169"/>
        <v>0.100108506016689</v>
      </c>
      <c r="EY40" s="25">
        <f t="shared" si="170"/>
        <v>0</v>
      </c>
      <c r="EZ40" s="25">
        <f t="shared" si="171"/>
        <v>0</v>
      </c>
      <c r="FA40" s="25">
        <f t="shared" si="172"/>
        <v>0</v>
      </c>
      <c r="FB40" s="25">
        <f t="shared" si="173"/>
        <v>0.120523108119285</v>
      </c>
      <c r="FC40" s="25">
        <f t="shared" si="174"/>
        <v>0.164450259837961</v>
      </c>
      <c r="FD40" s="25">
        <f t="shared" si="175"/>
        <v>0.362774903304059</v>
      </c>
      <c r="FE40" s="25">
        <f t="shared" si="176"/>
        <v>0</v>
      </c>
      <c r="FF40" s="25">
        <f t="shared" si="177"/>
        <v>0</v>
      </c>
      <c r="FG40" s="25">
        <f t="shared" si="178"/>
        <v>0.176828617761277</v>
      </c>
      <c r="FH40" s="25">
        <f t="shared" si="179"/>
        <v>0</v>
      </c>
      <c r="FI40" s="25">
        <f t="shared" si="180"/>
        <v>0.424660356378866</v>
      </c>
      <c r="FJ40" s="25">
        <f t="shared" si="181"/>
        <v>0.254026142724327</v>
      </c>
      <c r="FK40" s="25">
        <f t="shared" si="182"/>
        <v>0</v>
      </c>
      <c r="FL40" s="25">
        <f t="shared" si="183"/>
        <v>0</v>
      </c>
      <c r="FM40" s="25">
        <f t="shared" si="184"/>
        <v>0</v>
      </c>
      <c r="FN40" s="25">
        <f t="shared" si="185"/>
        <v>0.207016245842835</v>
      </c>
      <c r="FO40" s="25">
        <f t="shared" si="186"/>
        <v>0</v>
      </c>
      <c r="FP40" s="25">
        <f t="shared" si="187"/>
        <v>0</v>
      </c>
      <c r="FQ40" s="25">
        <f t="shared" si="188"/>
        <v>0.18128208284836</v>
      </c>
      <c r="FR40" s="25">
        <f t="shared" si="189"/>
        <v>0</v>
      </c>
      <c r="FS40" s="25">
        <f t="shared" si="190"/>
        <v>0</v>
      </c>
      <c r="FT40" s="25">
        <f t="shared" si="191"/>
        <v>0.0416143644599683</v>
      </c>
      <c r="FU40" s="25">
        <f t="shared" si="192"/>
        <v>0.197419004081527</v>
      </c>
      <c r="FV40" s="25">
        <f t="shared" si="193"/>
        <v>0.205228521073736</v>
      </c>
      <c r="FW40" s="25">
        <f t="shared" si="194"/>
        <v>0.297898088108291</v>
      </c>
      <c r="FX40" s="25">
        <f t="shared" si="195"/>
        <v>0</v>
      </c>
      <c r="FY40" s="25">
        <f t="shared" si="196"/>
        <v>0</v>
      </c>
      <c r="FZ40" s="25">
        <f t="shared" si="197"/>
        <v>0.0469664679215532</v>
      </c>
      <c r="GA40" s="25">
        <f t="shared" si="198"/>
        <v>0.0064811240511683</v>
      </c>
      <c r="GB40" s="25">
        <f t="shared" si="199"/>
        <v>0.207309860372335</v>
      </c>
      <c r="GC40" s="25">
        <f t="shared" si="200"/>
        <v>0</v>
      </c>
      <c r="GD40" s="25">
        <f t="shared" si="201"/>
        <v>0</v>
      </c>
      <c r="GE40" s="25">
        <f t="shared" si="202"/>
        <v>0.210341620158972</v>
      </c>
      <c r="GF40" s="25">
        <f t="shared" si="203"/>
        <v>0.102090128288759</v>
      </c>
      <c r="GG40" s="25">
        <f t="shared" si="204"/>
        <v>0.112610660254748</v>
      </c>
      <c r="GH40" s="25">
        <f t="shared" si="205"/>
        <v>0</v>
      </c>
      <c r="GI40" s="25">
        <f t="shared" si="206"/>
        <v>0.206542628237163</v>
      </c>
      <c r="GJ40" s="25">
        <f t="shared" si="207"/>
        <v>0.129072666667137</v>
      </c>
      <c r="GK40" s="25">
        <f t="shared" si="208"/>
        <v>0.22896898583215</v>
      </c>
      <c r="GL40" s="25">
        <f t="shared" si="209"/>
        <v>0.0257420091324201</v>
      </c>
      <c r="GM40" s="25">
        <f t="shared" si="210"/>
        <v>0.199444016533738</v>
      </c>
      <c r="GN40" s="25">
        <f t="shared" si="211"/>
        <v>0.196129555246095</v>
      </c>
      <c r="GO40" s="25">
        <f t="shared" si="212"/>
        <v>0</v>
      </c>
      <c r="GP40" s="25">
        <f t="shared" si="213"/>
        <v>0.140550125270659</v>
      </c>
      <c r="GQ40" s="25">
        <f t="shared" si="214"/>
        <v>0.308747284576394</v>
      </c>
      <c r="GR40" s="25">
        <f t="shared" si="215"/>
        <v>0</v>
      </c>
      <c r="GS40" s="25">
        <f t="shared" si="216"/>
        <v>0</v>
      </c>
      <c r="GT40" s="25">
        <f t="shared" si="217"/>
        <v>0.200433714294361</v>
      </c>
      <c r="GU40" s="25">
        <f t="shared" si="218"/>
        <v>0</v>
      </c>
      <c r="GV40" s="25">
        <f t="shared" si="219"/>
        <v>0</v>
      </c>
      <c r="GW40" s="25">
        <f t="shared" si="220"/>
        <v>0.224289406326469</v>
      </c>
      <c r="GX40" s="25">
        <f t="shared" si="221"/>
        <v>0</v>
      </c>
      <c r="GY40" s="25">
        <f t="shared" si="222"/>
        <v>0.21351098108957</v>
      </c>
      <c r="GZ40" s="25">
        <f t="shared" si="223"/>
        <v>0</v>
      </c>
      <c r="HA40" s="25">
        <f t="shared" si="224"/>
        <v>0</v>
      </c>
      <c r="HB40" s="25">
        <f t="shared" si="225"/>
        <v>0</v>
      </c>
      <c r="HC40" s="25">
        <f t="shared" si="226"/>
        <v>0.172541179621797</v>
      </c>
      <c r="HD40" s="25">
        <f t="shared" si="227"/>
        <v>0</v>
      </c>
      <c r="HE40" s="25">
        <f t="shared" si="228"/>
        <v>0</v>
      </c>
      <c r="HF40" s="25">
        <f t="shared" si="229"/>
        <v>0</v>
      </c>
      <c r="HG40" s="25">
        <f t="shared" si="230"/>
        <v>0.12113943317342</v>
      </c>
      <c r="HH40" s="25">
        <f t="shared" si="231"/>
        <v>0.232897649394342</v>
      </c>
      <c r="HI40" s="25">
        <f t="shared" si="232"/>
        <v>0.0068205967663192</v>
      </c>
      <c r="HJ40" s="25">
        <f t="shared" si="233"/>
        <v>0.236272733314568</v>
      </c>
      <c r="HK40" s="25">
        <f t="shared" si="234"/>
        <v>0.190925173832689</v>
      </c>
      <c r="HL40" s="25">
        <f t="shared" si="235"/>
        <v>0.233590355192615</v>
      </c>
      <c r="HM40" s="25">
        <f t="shared" si="236"/>
        <v>0</v>
      </c>
      <c r="HN40" s="25">
        <f t="shared" si="237"/>
        <v>0.193317381837975</v>
      </c>
      <c r="HO40" s="25">
        <f t="shared" si="238"/>
        <v>0.216328729220047</v>
      </c>
      <c r="HP40" s="25">
        <f t="shared" si="239"/>
        <v>0.156873447682378</v>
      </c>
      <c r="HQ40" s="25">
        <f t="shared" si="240"/>
        <v>0</v>
      </c>
      <c r="HR40" s="25">
        <f t="shared" si="241"/>
        <v>0.143351262319903</v>
      </c>
      <c r="HS40" s="25">
        <f t="shared" si="242"/>
        <v>0</v>
      </c>
      <c r="HT40" s="25">
        <f t="shared" si="243"/>
        <v>0.0377908110238052</v>
      </c>
      <c r="HU40" s="25">
        <f t="shared" si="244"/>
        <v>0.204360564596038</v>
      </c>
      <c r="HV40" s="25">
        <f t="shared" si="245"/>
        <v>0.0527256658498375</v>
      </c>
      <c r="HW40" s="25">
        <f t="shared" si="246"/>
        <v>0</v>
      </c>
      <c r="HX40" t="s">
        <v>404</v>
      </c>
      <c r="HY40" t="s">
        <v>475</v>
      </c>
    </row>
    <row r="41" spans="1:233">
      <c r="A41">
        <v>2019</v>
      </c>
      <c r="B41" t="str">
        <f>"UCE_utilization_"&amp;D46&amp;"_LO"</f>
        <v>UCE_utilization_Oil_LO</v>
      </c>
      <c r="C41" t="s">
        <v>404</v>
      </c>
      <c r="D41" t="s">
        <v>476</v>
      </c>
      <c r="E41">
        <v>-0.03</v>
      </c>
      <c r="G41" s="7">
        <v>-0.0847748111694639</v>
      </c>
      <c r="H41" s="7">
        <v>-0.568933143298615</v>
      </c>
      <c r="I41" s="7">
        <v>-0.0812727862835925</v>
      </c>
      <c r="J41" s="7"/>
      <c r="K41" s="7">
        <v>-0.206427351642606</v>
      </c>
      <c r="L41" s="7"/>
      <c r="M41" s="7"/>
      <c r="N41" s="7">
        <v>-0.196776185939881</v>
      </c>
      <c r="O41" s="7"/>
      <c r="P41" s="7"/>
      <c r="Q41" s="7">
        <v>-0.184822787562514</v>
      </c>
      <c r="R41" s="7">
        <v>-0.141875440330788</v>
      </c>
      <c r="S41" s="7"/>
      <c r="T41" s="7">
        <v>-0.0761435862610486</v>
      </c>
      <c r="U41" s="7">
        <v>-0.0806397454464877</v>
      </c>
      <c r="V41" s="7">
        <v>-0.0416735047050077</v>
      </c>
      <c r="W41" s="7">
        <v>-0.0554063700329719</v>
      </c>
      <c r="X41" s="7">
        <v>-0.164155918198384</v>
      </c>
      <c r="Y41" s="7"/>
      <c r="Z41" s="7"/>
      <c r="AA41" s="7"/>
      <c r="AB41" s="7"/>
      <c r="AC41" s="7">
        <v>-0.021071888537642</v>
      </c>
      <c r="AD41" s="7">
        <v>-0.784985662915179</v>
      </c>
      <c r="AE41" s="7"/>
      <c r="AF41" s="7"/>
      <c r="AG41" s="7"/>
      <c r="AH41" s="7"/>
      <c r="AI41" s="7"/>
      <c r="AJ41" s="7"/>
      <c r="AK41" s="7">
        <v>-0.242624640357281</v>
      </c>
      <c r="AL41" s="7"/>
      <c r="AM41" s="7"/>
      <c r="AN41" s="7"/>
      <c r="AO41" s="7">
        <v>-0.0153589034505598</v>
      </c>
      <c r="AP41" s="7">
        <v>-0.0924878110998228</v>
      </c>
      <c r="AQ41" s="7">
        <v>-0.0703514891862897</v>
      </c>
      <c r="AR41" s="7"/>
      <c r="AS41" s="7"/>
      <c r="AT41" s="7">
        <v>-0.0192597127624295</v>
      </c>
      <c r="AU41" s="7"/>
      <c r="AV41" s="7">
        <v>-0.116040433031402</v>
      </c>
      <c r="AW41" s="7">
        <v>-0.11523009072812</v>
      </c>
      <c r="AX41" s="7"/>
      <c r="AY41" s="7">
        <v>-0.13941788195422</v>
      </c>
      <c r="AZ41" s="7"/>
      <c r="BA41" s="7">
        <v>-0.381587429492345</v>
      </c>
      <c r="BB41" s="7"/>
      <c r="BC41" s="7"/>
      <c r="BD41" s="7">
        <v>-0.211671835961058</v>
      </c>
      <c r="BE41" s="7"/>
      <c r="BF41" s="7"/>
      <c r="BG41" s="7">
        <v>-0.0343475976886087</v>
      </c>
      <c r="BH41" s="7">
        <v>-0.113633260897149</v>
      </c>
      <c r="BI41" s="7">
        <v>-0.0114814814814815</v>
      </c>
      <c r="BJ41" s="7">
        <v>-0.21035716417465</v>
      </c>
      <c r="BK41" s="7">
        <v>-0.0109764664559185</v>
      </c>
      <c r="BL41" s="7"/>
      <c r="BM41" s="7"/>
      <c r="BN41" s="7">
        <v>-0.0850885169009396</v>
      </c>
      <c r="BO41" s="7">
        <v>-0.012955558311975</v>
      </c>
      <c r="BP41" s="7">
        <v>-0.0116378083217703</v>
      </c>
      <c r="BQ41" s="7"/>
      <c r="BR41" s="7">
        <v>-0.0169351196748457</v>
      </c>
      <c r="BS41" s="7">
        <v>-0.0644331648184388</v>
      </c>
      <c r="BT41" s="7">
        <v>-0.0600002750728943</v>
      </c>
      <c r="BU41" s="7"/>
      <c r="BV41" s="7">
        <v>-0.152433214875417</v>
      </c>
      <c r="BW41" s="7">
        <v>-0.254948301027566</v>
      </c>
      <c r="BX41" s="7">
        <v>-0.251759711390175</v>
      </c>
      <c r="BY41" s="7">
        <v>-0.175963970771616</v>
      </c>
      <c r="BZ41" s="7">
        <v>-0.283000706675139</v>
      </c>
      <c r="CA41" s="7">
        <v>-0.327833840101424</v>
      </c>
      <c r="CB41" s="7"/>
      <c r="CC41" s="7">
        <v>-0.0962203890397979</v>
      </c>
      <c r="CD41" s="7">
        <v>-0.0479641373874916</v>
      </c>
      <c r="CE41" s="7"/>
      <c r="CF41" s="7"/>
      <c r="CG41" s="7"/>
      <c r="CH41" s="7"/>
      <c r="CI41" s="7"/>
      <c r="CJ41" s="7">
        <v>-0.381324921988536</v>
      </c>
      <c r="CK41" s="7"/>
      <c r="CL41" s="7">
        <v>-0.425581037401878</v>
      </c>
      <c r="CM41" s="7"/>
      <c r="CN41" s="7"/>
      <c r="CO41" s="7">
        <v>-0.0273355318440597</v>
      </c>
      <c r="CP41" s="7">
        <v>-0.246491533992446</v>
      </c>
      <c r="CQ41" s="7"/>
      <c r="CR41" s="7">
        <v>-0.182428166615278</v>
      </c>
      <c r="CS41" s="7"/>
      <c r="CT41" s="7">
        <v>-0.0315428983417448</v>
      </c>
      <c r="CU41" s="7">
        <v>-0.200292681724437</v>
      </c>
      <c r="CV41" s="7"/>
      <c r="CW41" s="7">
        <v>-0.0155799103764558</v>
      </c>
      <c r="CX41" s="7"/>
      <c r="CY41" s="7"/>
      <c r="CZ41" s="7"/>
      <c r="DA41" s="7"/>
      <c r="DB41" s="7"/>
      <c r="DC41" s="7">
        <v>-0.0537053020202597</v>
      </c>
      <c r="DD41" s="7"/>
      <c r="DE41" s="7">
        <v>-0.0800368509313918</v>
      </c>
      <c r="DG41">
        <v>-0.122713498847127</v>
      </c>
      <c r="DH41">
        <v>-0.0897470559961548</v>
      </c>
      <c r="DI41">
        <v>-0.165814822495192</v>
      </c>
      <c r="DJ41">
        <v>-0.0244855735272897</v>
      </c>
      <c r="DK41" s="7">
        <f t="shared" si="247"/>
        <v>0.0317097919837646</v>
      </c>
      <c r="DL41">
        <v>0</v>
      </c>
      <c r="DM41">
        <v>5</v>
      </c>
      <c r="DS41" s="25">
        <f>-F41*$DQ$39</f>
        <v>0</v>
      </c>
      <c r="DT41" s="25">
        <f t="shared" si="151"/>
        <v>0.042387405584732</v>
      </c>
      <c r="DU41" s="25">
        <f t="shared" si="151"/>
        <v>0.284466571649307</v>
      </c>
      <c r="DV41" s="25">
        <f t="shared" si="151"/>
        <v>0.0406363931417962</v>
      </c>
      <c r="DW41" s="25">
        <f t="shared" si="151"/>
        <v>0</v>
      </c>
      <c r="DX41" s="25">
        <f t="shared" si="151"/>
        <v>0.103213675821303</v>
      </c>
      <c r="DY41" s="25">
        <f t="shared" si="151"/>
        <v>0</v>
      </c>
      <c r="DZ41" s="25">
        <f t="shared" si="151"/>
        <v>0</v>
      </c>
      <c r="EA41" s="25">
        <f t="shared" si="151"/>
        <v>0.0983880929699405</v>
      </c>
      <c r="EB41" s="25">
        <f t="shared" si="151"/>
        <v>0</v>
      </c>
      <c r="EC41" s="25">
        <f t="shared" si="151"/>
        <v>0</v>
      </c>
      <c r="ED41" s="25">
        <f t="shared" si="151"/>
        <v>0.092411393781257</v>
      </c>
      <c r="EE41" s="25">
        <f t="shared" si="151"/>
        <v>0.070937720165394</v>
      </c>
      <c r="EF41" s="25">
        <f t="shared" si="151"/>
        <v>0</v>
      </c>
      <c r="EG41" s="25">
        <f t="shared" si="152"/>
        <v>0.0380717931305243</v>
      </c>
      <c r="EH41" s="25">
        <f t="shared" si="153"/>
        <v>0.0403198727232439</v>
      </c>
      <c r="EI41" s="25">
        <f t="shared" si="154"/>
        <v>0.0208367523525038</v>
      </c>
      <c r="EJ41" s="25">
        <f t="shared" si="155"/>
        <v>0.0277031850164859</v>
      </c>
      <c r="EK41" s="25">
        <f t="shared" si="156"/>
        <v>0.082077959099192</v>
      </c>
      <c r="EL41" s="25">
        <f t="shared" si="157"/>
        <v>0</v>
      </c>
      <c r="EM41" s="25">
        <f t="shared" si="158"/>
        <v>0</v>
      </c>
      <c r="EN41" s="25">
        <f t="shared" si="159"/>
        <v>0</v>
      </c>
      <c r="EO41" s="25">
        <f t="shared" si="160"/>
        <v>0</v>
      </c>
      <c r="EP41" s="25">
        <f t="shared" si="161"/>
        <v>0.010535944268821</v>
      </c>
      <c r="EQ41" s="25">
        <f t="shared" si="162"/>
        <v>0.39249283145759</v>
      </c>
      <c r="ER41" s="25">
        <f t="shared" si="163"/>
        <v>0</v>
      </c>
      <c r="ES41" s="25">
        <f t="shared" si="164"/>
        <v>0</v>
      </c>
      <c r="ET41" s="25">
        <f t="shared" si="165"/>
        <v>0</v>
      </c>
      <c r="EU41" s="25">
        <f t="shared" si="166"/>
        <v>0</v>
      </c>
      <c r="EV41" s="25">
        <f t="shared" si="167"/>
        <v>0</v>
      </c>
      <c r="EW41" s="25">
        <f t="shared" si="168"/>
        <v>0</v>
      </c>
      <c r="EX41" s="25">
        <f t="shared" si="169"/>
        <v>0.121312320178641</v>
      </c>
      <c r="EY41" s="25">
        <f t="shared" si="170"/>
        <v>0</v>
      </c>
      <c r="EZ41" s="25">
        <f t="shared" si="171"/>
        <v>0</v>
      </c>
      <c r="FA41" s="25">
        <f t="shared" si="172"/>
        <v>0</v>
      </c>
      <c r="FB41" s="25">
        <f t="shared" si="173"/>
        <v>0.0076794517252799</v>
      </c>
      <c r="FC41" s="25">
        <f t="shared" si="174"/>
        <v>0.0462439055499114</v>
      </c>
      <c r="FD41" s="25">
        <f t="shared" si="175"/>
        <v>0.0351757445931448</v>
      </c>
      <c r="FE41" s="25">
        <f t="shared" si="176"/>
        <v>0</v>
      </c>
      <c r="FF41" s="25">
        <f t="shared" si="177"/>
        <v>0</v>
      </c>
      <c r="FG41" s="25">
        <f t="shared" si="178"/>
        <v>0.00962985638121475</v>
      </c>
      <c r="FH41" s="25">
        <f t="shared" si="179"/>
        <v>0</v>
      </c>
      <c r="FI41" s="25">
        <f t="shared" si="180"/>
        <v>0.058020216515701</v>
      </c>
      <c r="FJ41" s="25">
        <f t="shared" si="181"/>
        <v>0.05761504536406</v>
      </c>
      <c r="FK41" s="25">
        <f t="shared" si="182"/>
        <v>0</v>
      </c>
      <c r="FL41" s="25">
        <f t="shared" si="183"/>
        <v>0.06970894097711</v>
      </c>
      <c r="FM41" s="25">
        <f t="shared" si="184"/>
        <v>0</v>
      </c>
      <c r="FN41" s="25">
        <f t="shared" si="185"/>
        <v>0.190793714746172</v>
      </c>
      <c r="FO41" s="25">
        <f t="shared" si="186"/>
        <v>0</v>
      </c>
      <c r="FP41" s="25">
        <f t="shared" si="187"/>
        <v>0</v>
      </c>
      <c r="FQ41" s="25">
        <f t="shared" si="188"/>
        <v>0.105835917980529</v>
      </c>
      <c r="FR41" s="25">
        <f t="shared" si="189"/>
        <v>0</v>
      </c>
      <c r="FS41" s="25">
        <f t="shared" si="190"/>
        <v>0</v>
      </c>
      <c r="FT41" s="25">
        <f t="shared" si="191"/>
        <v>0.0171737988443043</v>
      </c>
      <c r="FU41" s="25">
        <f t="shared" si="192"/>
        <v>0.0568166304485745</v>
      </c>
      <c r="FV41" s="25">
        <f t="shared" si="193"/>
        <v>0.00574074074074075</v>
      </c>
      <c r="FW41" s="25">
        <f t="shared" si="194"/>
        <v>0.105178582087325</v>
      </c>
      <c r="FX41" s="25">
        <f t="shared" si="195"/>
        <v>0.00548823322795925</v>
      </c>
      <c r="FY41" s="25">
        <f t="shared" si="196"/>
        <v>0</v>
      </c>
      <c r="FZ41" s="25">
        <f t="shared" si="197"/>
        <v>0</v>
      </c>
      <c r="GA41" s="25">
        <f t="shared" si="198"/>
        <v>0.0425442584504698</v>
      </c>
      <c r="GB41" s="25">
        <f t="shared" si="199"/>
        <v>0.0064777791559875</v>
      </c>
      <c r="GC41" s="25">
        <f t="shared" si="200"/>
        <v>0.00581890416088515</v>
      </c>
      <c r="GD41" s="25">
        <f t="shared" si="201"/>
        <v>0</v>
      </c>
      <c r="GE41" s="25">
        <f t="shared" si="202"/>
        <v>0.00846755983742285</v>
      </c>
      <c r="GF41" s="25">
        <f t="shared" si="203"/>
        <v>0.0322165824092194</v>
      </c>
      <c r="GG41" s="25">
        <f t="shared" si="204"/>
        <v>0.0300001375364472</v>
      </c>
      <c r="GH41" s="25">
        <f t="shared" si="205"/>
        <v>0</v>
      </c>
      <c r="GI41" s="25">
        <f t="shared" si="206"/>
        <v>0.0762166074377085</v>
      </c>
      <c r="GJ41" s="25">
        <f t="shared" si="207"/>
        <v>0.127474150513783</v>
      </c>
      <c r="GK41" s="25">
        <f t="shared" si="208"/>
        <v>0.125879855695088</v>
      </c>
      <c r="GL41" s="25">
        <f t="shared" si="209"/>
        <v>0.087981985385808</v>
      </c>
      <c r="GM41" s="25">
        <f t="shared" si="210"/>
        <v>0.141500353337569</v>
      </c>
      <c r="GN41" s="25">
        <f t="shared" si="211"/>
        <v>0.163916920050712</v>
      </c>
      <c r="GO41" s="25">
        <f t="shared" si="212"/>
        <v>0</v>
      </c>
      <c r="GP41" s="25">
        <f t="shared" si="213"/>
        <v>0.048110194519899</v>
      </c>
      <c r="GQ41" s="25">
        <f t="shared" si="214"/>
        <v>0.0239820686937458</v>
      </c>
      <c r="GR41" s="25">
        <f t="shared" si="215"/>
        <v>0</v>
      </c>
      <c r="GS41" s="25">
        <f t="shared" si="216"/>
        <v>0</v>
      </c>
      <c r="GT41" s="25">
        <f t="shared" si="217"/>
        <v>0</v>
      </c>
      <c r="GU41" s="25">
        <f t="shared" si="218"/>
        <v>0</v>
      </c>
      <c r="GV41" s="25">
        <f t="shared" si="219"/>
        <v>0</v>
      </c>
      <c r="GW41" s="25">
        <f t="shared" si="220"/>
        <v>0.190662460994268</v>
      </c>
      <c r="GX41" s="25">
        <f t="shared" si="221"/>
        <v>0</v>
      </c>
      <c r="GY41" s="25">
        <f t="shared" si="222"/>
        <v>0.212790518700939</v>
      </c>
      <c r="GZ41" s="25">
        <f t="shared" si="223"/>
        <v>0</v>
      </c>
      <c r="HA41" s="25">
        <f t="shared" si="224"/>
        <v>0</v>
      </c>
      <c r="HB41" s="25">
        <f t="shared" si="225"/>
        <v>0.0136677659220299</v>
      </c>
      <c r="HC41" s="25">
        <f t="shared" si="226"/>
        <v>0.123245766996223</v>
      </c>
      <c r="HD41" s="25">
        <f t="shared" si="227"/>
        <v>0</v>
      </c>
      <c r="HE41" s="25">
        <f t="shared" si="228"/>
        <v>0.091214083307639</v>
      </c>
      <c r="HF41" s="25">
        <f t="shared" si="229"/>
        <v>0</v>
      </c>
      <c r="HG41" s="25">
        <f t="shared" si="230"/>
        <v>0.0157714491708724</v>
      </c>
      <c r="HH41" s="25">
        <f t="shared" si="231"/>
        <v>0.100146340862219</v>
      </c>
      <c r="HI41" s="25">
        <f t="shared" si="232"/>
        <v>0</v>
      </c>
      <c r="HJ41" s="25">
        <f t="shared" si="233"/>
        <v>0.0077899551882279</v>
      </c>
      <c r="HK41" s="25">
        <f t="shared" si="234"/>
        <v>0</v>
      </c>
      <c r="HL41" s="25">
        <f t="shared" si="235"/>
        <v>0</v>
      </c>
      <c r="HM41" s="25">
        <f t="shared" si="236"/>
        <v>0</v>
      </c>
      <c r="HN41" s="25">
        <f t="shared" si="237"/>
        <v>0</v>
      </c>
      <c r="HO41" s="25">
        <f t="shared" si="238"/>
        <v>0</v>
      </c>
      <c r="HP41" s="25">
        <f t="shared" si="239"/>
        <v>0.0268526510101299</v>
      </c>
      <c r="HQ41" s="25">
        <f t="shared" si="240"/>
        <v>0</v>
      </c>
      <c r="HR41" s="25">
        <f t="shared" si="241"/>
        <v>0.0400184254656959</v>
      </c>
      <c r="HS41" s="25">
        <f t="shared" si="242"/>
        <v>0</v>
      </c>
      <c r="HT41" s="25">
        <f t="shared" si="243"/>
        <v>0.0613567494235635</v>
      </c>
      <c r="HU41" s="25">
        <f t="shared" si="244"/>
        <v>0.0448735279980774</v>
      </c>
      <c r="HV41" s="25">
        <f t="shared" si="245"/>
        <v>0.082907411247596</v>
      </c>
      <c r="HW41" s="25">
        <f t="shared" si="246"/>
        <v>0.0122427867636449</v>
      </c>
      <c r="HX41" t="s">
        <v>404</v>
      </c>
      <c r="HY41" t="s">
        <v>476</v>
      </c>
    </row>
    <row r="42" spans="1:233">
      <c r="A42">
        <v>2019</v>
      </c>
      <c r="B42" t="str">
        <f>"UCE_utilization_"&amp;D47&amp;"_LO"</f>
        <v>UCE_utilization_Solid bio_LO</v>
      </c>
      <c r="C42" t="s">
        <v>404</v>
      </c>
      <c r="D42" t="s">
        <v>477</v>
      </c>
      <c r="E42">
        <v>-0.03</v>
      </c>
      <c r="G42" s="7"/>
      <c r="H42" s="7">
        <v>-0.08058017727639</v>
      </c>
      <c r="I42" s="7">
        <v>-0.215768365278623</v>
      </c>
      <c r="J42" s="7"/>
      <c r="K42" s="7">
        <v>-0.205938367637273</v>
      </c>
      <c r="L42" s="7">
        <v>-0.260224144460046</v>
      </c>
      <c r="M42" s="7"/>
      <c r="N42" s="7">
        <v>-0.5</v>
      </c>
      <c r="O42" s="7">
        <v>-0.154582145074702</v>
      </c>
      <c r="P42" s="7">
        <v>-0.510181150215934</v>
      </c>
      <c r="Q42" s="7">
        <v>-0.0935698779848791</v>
      </c>
      <c r="R42" s="7">
        <v>-0.38617946434722</v>
      </c>
      <c r="S42" s="7">
        <v>-0.357880517503805</v>
      </c>
      <c r="T42" s="7"/>
      <c r="U42" s="7">
        <v>-0.371857562322333</v>
      </c>
      <c r="V42" s="7">
        <v>-0.482939399285131</v>
      </c>
      <c r="W42" s="7">
        <v>-0.49190205248481</v>
      </c>
      <c r="X42" s="7">
        <v>-0.579991443285019</v>
      </c>
      <c r="Y42" s="7">
        <v>-0.361491628614916</v>
      </c>
      <c r="Z42" s="7"/>
      <c r="AA42" s="7">
        <v>-0.628170573961418</v>
      </c>
      <c r="AB42" s="7">
        <v>-0.299977272828199</v>
      </c>
      <c r="AC42" s="7">
        <v>-0.299657534246575</v>
      </c>
      <c r="AD42" s="7">
        <v>-0.350451509575411</v>
      </c>
      <c r="AE42" s="7">
        <v>-0.490867579908676</v>
      </c>
      <c r="AF42" s="7">
        <v>-0.0111493064530025</v>
      </c>
      <c r="AG42" s="7">
        <v>-0.585248467762661</v>
      </c>
      <c r="AH42" s="7">
        <v>-0.506606848409851</v>
      </c>
      <c r="AI42" s="7"/>
      <c r="AJ42" s="7">
        <v>-0.431571493215329</v>
      </c>
      <c r="AK42" s="7">
        <v>-0.266261140837988</v>
      </c>
      <c r="AL42" s="7">
        <v>-0.0570776255707763</v>
      </c>
      <c r="AM42" s="7">
        <v>-0.399805202965942</v>
      </c>
      <c r="AN42" s="7"/>
      <c r="AO42" s="7">
        <v>-0.201404268452423</v>
      </c>
      <c r="AP42" s="7">
        <v>-0.510974831372326</v>
      </c>
      <c r="AQ42" s="7"/>
      <c r="AR42" s="7"/>
      <c r="AS42" s="7"/>
      <c r="AT42" s="7"/>
      <c r="AU42" s="7">
        <v>-0.547860331686782</v>
      </c>
      <c r="AV42" s="7"/>
      <c r="AW42" s="7">
        <v>-0.870220478607791</v>
      </c>
      <c r="AX42" s="7"/>
      <c r="AY42" s="7">
        <v>-0.191525071530187</v>
      </c>
      <c r="AZ42" s="7"/>
      <c r="BA42" s="7"/>
      <c r="BB42" s="7"/>
      <c r="BC42" s="7">
        <v>-0.296803652968037</v>
      </c>
      <c r="BD42" s="7"/>
      <c r="BE42" s="7">
        <v>-0.52871905791877</v>
      </c>
      <c r="BF42" s="7">
        <v>-0.0535464231354642</v>
      </c>
      <c r="BG42" s="7"/>
      <c r="BH42" s="7">
        <v>-0.0454328855904024</v>
      </c>
      <c r="BI42" s="7"/>
      <c r="BJ42" s="7">
        <v>-0.137101030265483</v>
      </c>
      <c r="BK42" s="7"/>
      <c r="BL42" s="7"/>
      <c r="BM42" s="7"/>
      <c r="BN42" s="7">
        <v>-0.0835018591215917</v>
      </c>
      <c r="BO42" s="7">
        <v>-0.500182514035665</v>
      </c>
      <c r="BP42" s="7">
        <v>-0.160007610350076</v>
      </c>
      <c r="BQ42" s="7"/>
      <c r="BR42" s="7">
        <v>-0.543335089567966</v>
      </c>
      <c r="BS42" s="7"/>
      <c r="BT42" s="7">
        <v>-0.292998477929985</v>
      </c>
      <c r="BU42" s="7">
        <v>-0.0158950349690769</v>
      </c>
      <c r="BV42" s="7"/>
      <c r="BW42" s="7">
        <v>-0.297673239745171</v>
      </c>
      <c r="BX42" s="7">
        <v>-0.0873658402650517</v>
      </c>
      <c r="BY42" s="7"/>
      <c r="BZ42" s="7">
        <v>-0.274062279074526</v>
      </c>
      <c r="CA42" s="7"/>
      <c r="CB42" s="7">
        <v>-0.591140814625762</v>
      </c>
      <c r="CC42" s="7">
        <v>-0.123920848259554</v>
      </c>
      <c r="CD42" s="7">
        <v>-0.143136591690625</v>
      </c>
      <c r="CE42" s="7">
        <v>-0.828140827560299</v>
      </c>
      <c r="CF42" s="7">
        <v>-0.532351714077001</v>
      </c>
      <c r="CG42" s="7"/>
      <c r="CH42" s="7">
        <v>-0.351200767234153</v>
      </c>
      <c r="CI42" s="7"/>
      <c r="CJ42" s="7"/>
      <c r="CK42" s="7">
        <v>-0.41138698630137</v>
      </c>
      <c r="CL42" s="7">
        <v>-0.430365296803653</v>
      </c>
      <c r="CM42" s="7">
        <v>-0.439108551266086</v>
      </c>
      <c r="CN42" s="7">
        <v>-0.432406254324063</v>
      </c>
      <c r="CO42" s="7">
        <v>-0.14038120391519</v>
      </c>
      <c r="CP42" s="7">
        <v>-0.258167208752493</v>
      </c>
      <c r="CQ42" s="7">
        <v>-0.59731129364362</v>
      </c>
      <c r="CR42" s="7">
        <v>-0.0589230398568183</v>
      </c>
      <c r="CS42" s="7">
        <v>-0.27572977930597</v>
      </c>
      <c r="CT42" s="7"/>
      <c r="CU42" s="7">
        <v>-0.172431893628966</v>
      </c>
      <c r="CV42" s="7"/>
      <c r="CW42" s="7">
        <v>-0.198813755447925</v>
      </c>
      <c r="CX42" s="7">
        <v>-0.30401658275936</v>
      </c>
      <c r="CY42" s="7"/>
      <c r="CZ42" s="7">
        <v>-0.153590701535907</v>
      </c>
      <c r="DA42" s="7"/>
      <c r="DB42" s="7"/>
      <c r="DC42" s="7">
        <v>-0.384353082823248</v>
      </c>
      <c r="DD42" s="7">
        <v>-0.0143943535389455</v>
      </c>
      <c r="DE42" s="7">
        <v>-0.540295284491796</v>
      </c>
      <c r="DH42">
        <v>-0.105374671934757</v>
      </c>
      <c r="DJ42">
        <v>-0.168133614987411</v>
      </c>
      <c r="DK42" s="7">
        <f t="shared" si="247"/>
        <v>0.0317097919837646</v>
      </c>
      <c r="DL42">
        <v>0</v>
      </c>
      <c r="DM42">
        <v>5</v>
      </c>
      <c r="DS42" s="25">
        <f>-F42*$DQ$39</f>
        <v>0</v>
      </c>
      <c r="DT42" s="25">
        <f t="shared" si="151"/>
        <v>0</v>
      </c>
      <c r="DU42" s="25">
        <f t="shared" si="151"/>
        <v>0.040290088638195</v>
      </c>
      <c r="DV42" s="25">
        <f t="shared" si="151"/>
        <v>0.107884182639312</v>
      </c>
      <c r="DW42" s="25">
        <f t="shared" si="151"/>
        <v>0</v>
      </c>
      <c r="DX42" s="25">
        <f t="shared" si="151"/>
        <v>0.102969183818636</v>
      </c>
      <c r="DY42" s="25">
        <f t="shared" si="151"/>
        <v>0.130112072230023</v>
      </c>
      <c r="DZ42" s="25">
        <f t="shared" si="151"/>
        <v>0</v>
      </c>
      <c r="EA42" s="25">
        <f t="shared" si="151"/>
        <v>0.25</v>
      </c>
      <c r="EB42" s="25">
        <f t="shared" si="151"/>
        <v>0.077291072537351</v>
      </c>
      <c r="EC42" s="25">
        <f t="shared" si="151"/>
        <v>0.255090575107967</v>
      </c>
      <c r="ED42" s="25">
        <f t="shared" si="151"/>
        <v>0.0467849389924396</v>
      </c>
      <c r="EE42" s="25">
        <f t="shared" si="151"/>
        <v>0.19308973217361</v>
      </c>
      <c r="EF42" s="25">
        <f t="shared" si="151"/>
        <v>0.178940258751903</v>
      </c>
      <c r="EG42" s="25">
        <f t="shared" si="152"/>
        <v>0</v>
      </c>
      <c r="EH42" s="25">
        <f t="shared" si="153"/>
        <v>0.185928781161167</v>
      </c>
      <c r="EI42" s="25">
        <f t="shared" si="154"/>
        <v>0.241469699642566</v>
      </c>
      <c r="EJ42" s="25">
        <f t="shared" si="155"/>
        <v>0.245951026242405</v>
      </c>
      <c r="EK42" s="25">
        <f t="shared" si="156"/>
        <v>0.289995721642509</v>
      </c>
      <c r="EL42" s="25">
        <f t="shared" si="157"/>
        <v>0.180745814307458</v>
      </c>
      <c r="EM42" s="25">
        <f t="shared" si="158"/>
        <v>0</v>
      </c>
      <c r="EN42" s="25">
        <f t="shared" si="159"/>
        <v>0.314085286980709</v>
      </c>
      <c r="EO42" s="25">
        <f t="shared" si="160"/>
        <v>0.1499886364141</v>
      </c>
      <c r="EP42" s="25">
        <f t="shared" si="161"/>
        <v>0.149828767123287</v>
      </c>
      <c r="EQ42" s="25">
        <f t="shared" si="162"/>
        <v>0.175225754787705</v>
      </c>
      <c r="ER42" s="25">
        <f t="shared" si="163"/>
        <v>0.245433789954338</v>
      </c>
      <c r="ES42" s="25">
        <f t="shared" si="164"/>
        <v>0.00557465322650125</v>
      </c>
      <c r="ET42" s="25">
        <f t="shared" si="165"/>
        <v>0.292624233881331</v>
      </c>
      <c r="EU42" s="25">
        <f t="shared" si="166"/>
        <v>0.253303424204926</v>
      </c>
      <c r="EV42" s="25">
        <f t="shared" si="167"/>
        <v>0</v>
      </c>
      <c r="EW42" s="25">
        <f t="shared" si="168"/>
        <v>0.215785746607665</v>
      </c>
      <c r="EX42" s="25">
        <f t="shared" si="169"/>
        <v>0.133130570418994</v>
      </c>
      <c r="EY42" s="25">
        <f t="shared" si="170"/>
        <v>0.0285388127853882</v>
      </c>
      <c r="EZ42" s="25">
        <f t="shared" si="171"/>
        <v>0.199902601482971</v>
      </c>
      <c r="FA42" s="25">
        <f t="shared" si="172"/>
        <v>0</v>
      </c>
      <c r="FB42" s="25">
        <f t="shared" si="173"/>
        <v>0.100702134226212</v>
      </c>
      <c r="FC42" s="25">
        <f t="shared" si="174"/>
        <v>0.255487415686163</v>
      </c>
      <c r="FD42" s="25">
        <f t="shared" si="175"/>
        <v>0</v>
      </c>
      <c r="FE42" s="25">
        <f t="shared" si="176"/>
        <v>0</v>
      </c>
      <c r="FF42" s="25">
        <f t="shared" si="177"/>
        <v>0</v>
      </c>
      <c r="FG42" s="25">
        <f t="shared" si="178"/>
        <v>0</v>
      </c>
      <c r="FH42" s="25">
        <f t="shared" si="179"/>
        <v>0.273930165843391</v>
      </c>
      <c r="FI42" s="25">
        <f t="shared" si="180"/>
        <v>0</v>
      </c>
      <c r="FJ42" s="25">
        <f t="shared" si="181"/>
        <v>0.435110239303895</v>
      </c>
      <c r="FK42" s="25">
        <f t="shared" si="182"/>
        <v>0</v>
      </c>
      <c r="FL42" s="25">
        <f t="shared" si="183"/>
        <v>0.0957625357650935</v>
      </c>
      <c r="FM42" s="25">
        <f t="shared" si="184"/>
        <v>0</v>
      </c>
      <c r="FN42" s="25">
        <f t="shared" si="185"/>
        <v>0</v>
      </c>
      <c r="FO42" s="25">
        <f t="shared" si="186"/>
        <v>0</v>
      </c>
      <c r="FP42" s="25">
        <f t="shared" si="187"/>
        <v>0.148401826484019</v>
      </c>
      <c r="FQ42" s="25">
        <f t="shared" si="188"/>
        <v>0</v>
      </c>
      <c r="FR42" s="25">
        <f t="shared" si="189"/>
        <v>0.264359528959385</v>
      </c>
      <c r="FS42" s="25">
        <f t="shared" si="190"/>
        <v>0.0267732115677321</v>
      </c>
      <c r="FT42" s="25">
        <f t="shared" si="191"/>
        <v>0</v>
      </c>
      <c r="FU42" s="25">
        <f t="shared" si="192"/>
        <v>0.0227164427952012</v>
      </c>
      <c r="FV42" s="25">
        <f t="shared" si="193"/>
        <v>0</v>
      </c>
      <c r="FW42" s="25">
        <f t="shared" si="194"/>
        <v>0.0685505151327415</v>
      </c>
      <c r="FX42" s="25">
        <f t="shared" si="195"/>
        <v>0</v>
      </c>
      <c r="FY42" s="25">
        <f t="shared" si="196"/>
        <v>0</v>
      </c>
      <c r="FZ42" s="25">
        <f t="shared" si="197"/>
        <v>0</v>
      </c>
      <c r="GA42" s="25">
        <f t="shared" si="198"/>
        <v>0.0417509295607959</v>
      </c>
      <c r="GB42" s="25">
        <f t="shared" si="199"/>
        <v>0.250091257017833</v>
      </c>
      <c r="GC42" s="25">
        <f t="shared" si="200"/>
        <v>0.080003805175038</v>
      </c>
      <c r="GD42" s="25">
        <f t="shared" si="201"/>
        <v>0</v>
      </c>
      <c r="GE42" s="25">
        <f t="shared" si="202"/>
        <v>0.271667544783983</v>
      </c>
      <c r="GF42" s="25">
        <f t="shared" si="203"/>
        <v>0</v>
      </c>
      <c r="GG42" s="25">
        <f t="shared" si="204"/>
        <v>0.146499238964993</v>
      </c>
      <c r="GH42" s="25">
        <f t="shared" si="205"/>
        <v>0.00794751748453845</v>
      </c>
      <c r="GI42" s="25">
        <f t="shared" si="206"/>
        <v>0</v>
      </c>
      <c r="GJ42" s="25">
        <f t="shared" si="207"/>
        <v>0.148836619872586</v>
      </c>
      <c r="GK42" s="25">
        <f t="shared" si="208"/>
        <v>0.0436829201325259</v>
      </c>
      <c r="GL42" s="25">
        <f t="shared" si="209"/>
        <v>0</v>
      </c>
      <c r="GM42" s="25">
        <f t="shared" si="210"/>
        <v>0.137031139537263</v>
      </c>
      <c r="GN42" s="25">
        <f t="shared" si="211"/>
        <v>0</v>
      </c>
      <c r="GO42" s="25">
        <f t="shared" si="212"/>
        <v>0.295570407312881</v>
      </c>
      <c r="GP42" s="25">
        <f t="shared" si="213"/>
        <v>0.061960424129777</v>
      </c>
      <c r="GQ42" s="25">
        <f t="shared" si="214"/>
        <v>0.0715682958453125</v>
      </c>
      <c r="GR42" s="25">
        <f t="shared" si="215"/>
        <v>0.41407041378015</v>
      </c>
      <c r="GS42" s="25">
        <f t="shared" si="216"/>
        <v>0.2661758570385</v>
      </c>
      <c r="GT42" s="25">
        <f t="shared" si="217"/>
        <v>0</v>
      </c>
      <c r="GU42" s="25">
        <f t="shared" si="218"/>
        <v>0.175600383617076</v>
      </c>
      <c r="GV42" s="25">
        <f t="shared" si="219"/>
        <v>0</v>
      </c>
      <c r="GW42" s="25">
        <f t="shared" si="220"/>
        <v>0</v>
      </c>
      <c r="GX42" s="25">
        <f t="shared" si="221"/>
        <v>0.205693493150685</v>
      </c>
      <c r="GY42" s="25">
        <f t="shared" si="222"/>
        <v>0.215182648401826</v>
      </c>
      <c r="GZ42" s="25">
        <f t="shared" si="223"/>
        <v>0.219554275633043</v>
      </c>
      <c r="HA42" s="25">
        <f t="shared" si="224"/>
        <v>0.216203127162031</v>
      </c>
      <c r="HB42" s="25">
        <f t="shared" si="225"/>
        <v>0.070190601957595</v>
      </c>
      <c r="HC42" s="25">
        <f t="shared" si="226"/>
        <v>0.129083604376246</v>
      </c>
      <c r="HD42" s="25">
        <f t="shared" si="227"/>
        <v>0.29865564682181</v>
      </c>
      <c r="HE42" s="25">
        <f t="shared" si="228"/>
        <v>0.0294615199284092</v>
      </c>
      <c r="HF42" s="25">
        <f t="shared" si="229"/>
        <v>0.137864889652985</v>
      </c>
      <c r="HG42" s="25">
        <f t="shared" si="230"/>
        <v>0</v>
      </c>
      <c r="HH42" s="25">
        <f t="shared" si="231"/>
        <v>0.086215946814483</v>
      </c>
      <c r="HI42" s="25">
        <f t="shared" si="232"/>
        <v>0</v>
      </c>
      <c r="HJ42" s="25">
        <f t="shared" si="233"/>
        <v>0.0994068777239625</v>
      </c>
      <c r="HK42" s="25">
        <f t="shared" si="234"/>
        <v>0.15200829137968</v>
      </c>
      <c r="HL42" s="25">
        <f t="shared" si="235"/>
        <v>0</v>
      </c>
      <c r="HM42" s="25">
        <f t="shared" si="236"/>
        <v>0.0767953507679535</v>
      </c>
      <c r="HN42" s="25">
        <f t="shared" si="237"/>
        <v>0</v>
      </c>
      <c r="HO42" s="25">
        <f t="shared" si="238"/>
        <v>0</v>
      </c>
      <c r="HP42" s="25">
        <f t="shared" si="239"/>
        <v>0.192176541411624</v>
      </c>
      <c r="HQ42" s="25">
        <f t="shared" si="240"/>
        <v>0.00719717676947275</v>
      </c>
      <c r="HR42" s="25">
        <f t="shared" si="241"/>
        <v>0.270147642245898</v>
      </c>
      <c r="HS42" s="25">
        <f t="shared" si="242"/>
        <v>0</v>
      </c>
      <c r="HT42" s="25">
        <f t="shared" si="243"/>
        <v>0</v>
      </c>
      <c r="HU42" s="25">
        <f t="shared" si="244"/>
        <v>0.0526873359673785</v>
      </c>
      <c r="HV42" s="25">
        <f t="shared" si="245"/>
        <v>0</v>
      </c>
      <c r="HW42" s="25">
        <f t="shared" si="246"/>
        <v>0.0840668074937055</v>
      </c>
      <c r="HX42" t="s">
        <v>404</v>
      </c>
      <c r="HY42" t="s">
        <v>477</v>
      </c>
    </row>
    <row r="44" spans="2:114">
      <c r="B44" t="s">
        <v>478</v>
      </c>
      <c r="D44" s="12" t="s">
        <v>44</v>
      </c>
      <c r="F44" t="str">
        <f t="shared" ref="F44:I44" si="248">IFERROR(AVERAGE(F16:F17)/F39,"")</f>
        <v/>
      </c>
      <c r="G44" t="str">
        <f t="shared" si="248"/>
        <v/>
      </c>
      <c r="H44" t="str">
        <f t="shared" si="248"/>
        <v/>
      </c>
      <c r="I44">
        <f t="shared" si="248"/>
        <v>1.77820759858562</v>
      </c>
      <c r="J44" t="str">
        <f t="shared" ref="J44:BU44" si="249">IFERROR(AVERAGE(J16:J17)/J39,"")</f>
        <v/>
      </c>
      <c r="K44">
        <f t="shared" si="249"/>
        <v>1.22574400239123</v>
      </c>
      <c r="L44" t="str">
        <f t="shared" si="249"/>
        <v/>
      </c>
      <c r="M44" t="str">
        <f t="shared" si="249"/>
        <v/>
      </c>
      <c r="N44">
        <f t="shared" si="249"/>
        <v>1.93334343667707</v>
      </c>
      <c r="O44" t="str">
        <f t="shared" si="249"/>
        <v/>
      </c>
      <c r="P44" t="str">
        <f t="shared" si="249"/>
        <v/>
      </c>
      <c r="Q44">
        <f t="shared" si="249"/>
        <v>1.08836908274097</v>
      </c>
      <c r="R44">
        <f t="shared" si="249"/>
        <v>1.22385684629023</v>
      </c>
      <c r="S44" t="str">
        <f t="shared" si="249"/>
        <v/>
      </c>
      <c r="T44" t="str">
        <f t="shared" si="249"/>
        <v/>
      </c>
      <c r="U44">
        <f t="shared" si="249"/>
        <v>1.45817567123045</v>
      </c>
      <c r="V44">
        <f t="shared" si="249"/>
        <v>1.16642090291963</v>
      </c>
      <c r="W44">
        <f t="shared" si="249"/>
        <v>1.13848986295482</v>
      </c>
      <c r="X44">
        <f t="shared" si="249"/>
        <v>1.96244298688741</v>
      </c>
      <c r="Y44" t="str">
        <f t="shared" si="249"/>
        <v/>
      </c>
      <c r="Z44" t="str">
        <f t="shared" si="249"/>
        <v/>
      </c>
      <c r="AA44" t="str">
        <f t="shared" si="249"/>
        <v/>
      </c>
      <c r="AB44" t="str">
        <f t="shared" si="249"/>
        <v/>
      </c>
      <c r="AC44" t="str">
        <f t="shared" si="249"/>
        <v/>
      </c>
      <c r="AD44" t="str">
        <f t="shared" si="249"/>
        <v/>
      </c>
      <c r="AE44" t="str">
        <f t="shared" si="249"/>
        <v/>
      </c>
      <c r="AF44" t="str">
        <f t="shared" si="249"/>
        <v/>
      </c>
      <c r="AG44" t="str">
        <f t="shared" si="249"/>
        <v/>
      </c>
      <c r="AH44" t="str">
        <f t="shared" si="249"/>
        <v/>
      </c>
      <c r="AI44" t="str">
        <f t="shared" si="249"/>
        <v/>
      </c>
      <c r="AJ44" t="str">
        <f t="shared" si="249"/>
        <v/>
      </c>
      <c r="AK44" t="str">
        <f t="shared" si="249"/>
        <v/>
      </c>
      <c r="AL44" t="str">
        <f t="shared" si="249"/>
        <v/>
      </c>
      <c r="AM44" t="str">
        <f t="shared" si="249"/>
        <v/>
      </c>
      <c r="AN44" t="str">
        <f t="shared" si="249"/>
        <v/>
      </c>
      <c r="AO44">
        <f t="shared" si="249"/>
        <v>1.0445728064806</v>
      </c>
      <c r="AP44">
        <f t="shared" si="249"/>
        <v>1.20853245934816</v>
      </c>
      <c r="AQ44">
        <f t="shared" si="249"/>
        <v>2.84511541591246</v>
      </c>
      <c r="AR44" t="str">
        <f t="shared" si="249"/>
        <v/>
      </c>
      <c r="AS44" t="str">
        <f t="shared" si="249"/>
        <v/>
      </c>
      <c r="AT44">
        <f t="shared" si="249"/>
        <v>1.30538522441152</v>
      </c>
      <c r="AU44" t="str">
        <f t="shared" si="249"/>
        <v/>
      </c>
      <c r="AV44" t="str">
        <f t="shared" si="249"/>
        <v/>
      </c>
      <c r="AW44">
        <f t="shared" si="249"/>
        <v>1.04118807595189</v>
      </c>
      <c r="AX44" t="str">
        <f t="shared" si="249"/>
        <v/>
      </c>
      <c r="AY44" t="str">
        <f t="shared" si="249"/>
        <v/>
      </c>
      <c r="AZ44" t="str">
        <f t="shared" si="249"/>
        <v/>
      </c>
      <c r="BA44" t="str">
        <f t="shared" si="249"/>
        <v/>
      </c>
      <c r="BB44">
        <f t="shared" si="249"/>
        <v>4.01515736755012</v>
      </c>
      <c r="BC44" t="str">
        <f t="shared" si="249"/>
        <v/>
      </c>
      <c r="BD44" t="str">
        <f t="shared" si="249"/>
        <v/>
      </c>
      <c r="BE44" t="str">
        <f t="shared" si="249"/>
        <v/>
      </c>
      <c r="BF44" t="str">
        <f t="shared" si="249"/>
        <v/>
      </c>
      <c r="BG44">
        <f t="shared" si="249"/>
        <v>1.96445280892649</v>
      </c>
      <c r="BH44">
        <f t="shared" si="249"/>
        <v>1.21331472150865</v>
      </c>
      <c r="BI44" t="str">
        <f t="shared" si="249"/>
        <v/>
      </c>
      <c r="BJ44">
        <f t="shared" si="249"/>
        <v>1.5976798308411</v>
      </c>
      <c r="BK44" t="str">
        <f t="shared" si="249"/>
        <v/>
      </c>
      <c r="BL44">
        <f t="shared" si="249"/>
        <v>1.04789437671295</v>
      </c>
      <c r="BM44">
        <f t="shared" si="249"/>
        <v>1.17892948185939</v>
      </c>
      <c r="BN44" t="str">
        <f t="shared" si="249"/>
        <v/>
      </c>
      <c r="BO44">
        <f t="shared" si="249"/>
        <v>39.6469881437045</v>
      </c>
      <c r="BP44" t="str">
        <f t="shared" si="249"/>
        <v/>
      </c>
      <c r="BQ44" t="str">
        <f t="shared" si="249"/>
        <v/>
      </c>
      <c r="BR44" t="str">
        <f t="shared" si="249"/>
        <v/>
      </c>
      <c r="BS44">
        <f t="shared" si="249"/>
        <v>1.09090064396821</v>
      </c>
      <c r="BT44" t="str">
        <f t="shared" si="249"/>
        <v/>
      </c>
      <c r="BU44" t="str">
        <f t="shared" si="249"/>
        <v/>
      </c>
      <c r="BV44" t="str">
        <f t="shared" ref="BV44:DJ44" si="250">IFERROR(AVERAGE(BV16:BV17)/BV39,"")</f>
        <v/>
      </c>
      <c r="BW44">
        <f t="shared" si="250"/>
        <v>1.62737948271919</v>
      </c>
      <c r="BX44">
        <f t="shared" si="250"/>
        <v>1.92615454490871</v>
      </c>
      <c r="BY44" t="str">
        <f t="shared" si="250"/>
        <v/>
      </c>
      <c r="BZ44">
        <f t="shared" si="250"/>
        <v>1.04350913892316</v>
      </c>
      <c r="CA44" t="str">
        <f t="shared" si="250"/>
        <v/>
      </c>
      <c r="CB44" t="str">
        <f t="shared" si="250"/>
        <v/>
      </c>
      <c r="CC44">
        <f t="shared" si="250"/>
        <v>47.378713181613</v>
      </c>
      <c r="CD44">
        <f t="shared" si="250"/>
        <v>1.22907674323694</v>
      </c>
      <c r="CE44" t="str">
        <f t="shared" si="250"/>
        <v/>
      </c>
      <c r="CF44" t="str">
        <f t="shared" si="250"/>
        <v/>
      </c>
      <c r="CG44" t="str">
        <f t="shared" si="250"/>
        <v/>
      </c>
      <c r="CH44" t="str">
        <f t="shared" si="250"/>
        <v/>
      </c>
      <c r="CI44" t="str">
        <f t="shared" si="250"/>
        <v/>
      </c>
      <c r="CJ44" t="str">
        <f t="shared" si="250"/>
        <v/>
      </c>
      <c r="CK44" t="str">
        <f t="shared" si="250"/>
        <v/>
      </c>
      <c r="CL44">
        <f t="shared" si="250"/>
        <v>1.21970016838288</v>
      </c>
      <c r="CM44" t="str">
        <f t="shared" si="250"/>
        <v/>
      </c>
      <c r="CN44" t="str">
        <f t="shared" si="250"/>
        <v/>
      </c>
      <c r="CO44">
        <f t="shared" si="250"/>
        <v>1.09139658737568</v>
      </c>
      <c r="CP44">
        <f t="shared" si="250"/>
        <v>1.11166663996702</v>
      </c>
      <c r="CQ44" t="str">
        <f t="shared" si="250"/>
        <v/>
      </c>
      <c r="CR44" t="str">
        <f t="shared" si="250"/>
        <v/>
      </c>
      <c r="CS44" t="str">
        <f t="shared" si="250"/>
        <v/>
      </c>
      <c r="CT44" t="str">
        <f t="shared" si="250"/>
        <v/>
      </c>
      <c r="CU44">
        <f t="shared" si="250"/>
        <v>1.2252101628057</v>
      </c>
      <c r="CV44">
        <f t="shared" si="250"/>
        <v>4.88477754256248</v>
      </c>
      <c r="CW44" t="str">
        <f t="shared" si="250"/>
        <v/>
      </c>
      <c r="CX44">
        <f t="shared" si="250"/>
        <v>1.74257957466488</v>
      </c>
      <c r="CY44" t="str">
        <f t="shared" si="250"/>
        <v/>
      </c>
      <c r="CZ44" t="str">
        <f t="shared" si="250"/>
        <v/>
      </c>
      <c r="DA44" t="str">
        <f t="shared" si="250"/>
        <v/>
      </c>
      <c r="DB44" t="str">
        <f t="shared" si="250"/>
        <v/>
      </c>
      <c r="DC44">
        <f t="shared" si="250"/>
        <v>3.92234399968417</v>
      </c>
      <c r="DD44" t="str">
        <f t="shared" si="250"/>
        <v/>
      </c>
      <c r="DE44">
        <f t="shared" si="250"/>
        <v>1.37242658556972</v>
      </c>
      <c r="DF44" t="str">
        <f t="shared" si="250"/>
        <v/>
      </c>
      <c r="DG44" t="str">
        <f t="shared" si="250"/>
        <v/>
      </c>
      <c r="DH44">
        <f t="shared" si="250"/>
        <v>1.70166311639504</v>
      </c>
      <c r="DI44" t="str">
        <f t="shared" si="250"/>
        <v/>
      </c>
      <c r="DJ44">
        <f t="shared" si="250"/>
        <v>4.62087608891996</v>
      </c>
    </row>
    <row r="45" spans="4:114">
      <c r="D45" s="12" t="s">
        <v>479</v>
      </c>
      <c r="F45" t="str">
        <f t="shared" ref="F45:I45" si="251">IFERROR(F18/F40,"")</f>
        <v/>
      </c>
      <c r="G45">
        <f t="shared" si="251"/>
        <v>1.28625889109832</v>
      </c>
      <c r="H45">
        <f t="shared" si="251"/>
        <v>23.035552333872</v>
      </c>
      <c r="I45">
        <f t="shared" si="251"/>
        <v>1.15579035167042</v>
      </c>
      <c r="J45">
        <f t="shared" ref="J45:BU45" si="252">IFERROR(J18/J40,"")</f>
        <v>4.04966604970952</v>
      </c>
      <c r="K45">
        <f t="shared" si="252"/>
        <v>2.11752363578918</v>
      </c>
      <c r="L45" t="str">
        <f t="shared" si="252"/>
        <v/>
      </c>
      <c r="M45" t="str">
        <f t="shared" si="252"/>
        <v/>
      </c>
      <c r="N45">
        <f t="shared" si="252"/>
        <v>1.30594931868323</v>
      </c>
      <c r="O45" t="str">
        <f t="shared" si="252"/>
        <v/>
      </c>
      <c r="P45" t="str">
        <f t="shared" si="252"/>
        <v/>
      </c>
      <c r="Q45">
        <f t="shared" si="252"/>
        <v>44.3243990058301</v>
      </c>
      <c r="R45">
        <f t="shared" si="252"/>
        <v>3.97523561826788</v>
      </c>
      <c r="S45" t="str">
        <f t="shared" si="252"/>
        <v/>
      </c>
      <c r="T45">
        <f t="shared" si="252"/>
        <v>1.14303384892206</v>
      </c>
      <c r="U45">
        <f t="shared" si="252"/>
        <v>1.48955886131101</v>
      </c>
      <c r="V45">
        <f t="shared" si="252"/>
        <v>1.81971883652145</v>
      </c>
      <c r="W45">
        <f t="shared" si="252"/>
        <v>1.83384991304556</v>
      </c>
      <c r="X45">
        <f t="shared" si="252"/>
        <v>1.40537162230248</v>
      </c>
      <c r="Y45" t="str">
        <f t="shared" si="252"/>
        <v/>
      </c>
      <c r="Z45" t="str">
        <f t="shared" si="252"/>
        <v/>
      </c>
      <c r="AA45" t="str">
        <f t="shared" si="252"/>
        <v/>
      </c>
      <c r="AB45" t="str">
        <f t="shared" si="252"/>
        <v/>
      </c>
      <c r="AC45" t="str">
        <f t="shared" si="252"/>
        <v/>
      </c>
      <c r="AD45">
        <f t="shared" si="252"/>
        <v>1.48898033077672</v>
      </c>
      <c r="AE45" t="str">
        <f t="shared" si="252"/>
        <v/>
      </c>
      <c r="AF45" t="str">
        <f t="shared" si="252"/>
        <v/>
      </c>
      <c r="AG45" t="str">
        <f t="shared" si="252"/>
        <v/>
      </c>
      <c r="AH45" t="str">
        <f t="shared" si="252"/>
        <v/>
      </c>
      <c r="AI45">
        <f t="shared" si="252"/>
        <v>2.6552806235817</v>
      </c>
      <c r="AJ45" t="str">
        <f t="shared" si="252"/>
        <v/>
      </c>
      <c r="AK45">
        <f t="shared" si="252"/>
        <v>2.47037076995441</v>
      </c>
      <c r="AL45" t="str">
        <f t="shared" si="252"/>
        <v/>
      </c>
      <c r="AM45" t="str">
        <f t="shared" si="252"/>
        <v/>
      </c>
      <c r="AN45" t="str">
        <f t="shared" si="252"/>
        <v/>
      </c>
      <c r="AO45">
        <f t="shared" si="252"/>
        <v>2.0519312100935</v>
      </c>
      <c r="AP45">
        <f t="shared" si="252"/>
        <v>1.50382934834589</v>
      </c>
      <c r="AQ45">
        <f t="shared" si="252"/>
        <v>0.867942198254435</v>
      </c>
      <c r="AR45" t="str">
        <f t="shared" si="252"/>
        <v/>
      </c>
      <c r="AS45" t="str">
        <f t="shared" si="252"/>
        <v/>
      </c>
      <c r="AT45">
        <f t="shared" si="252"/>
        <v>1.69239838389844</v>
      </c>
      <c r="AU45" t="str">
        <f t="shared" si="252"/>
        <v/>
      </c>
      <c r="AV45">
        <f t="shared" si="252"/>
        <v>0.972352571192119</v>
      </c>
      <c r="AW45">
        <f t="shared" si="252"/>
        <v>1.31949961762803</v>
      </c>
      <c r="AX45" t="str">
        <f t="shared" si="252"/>
        <v/>
      </c>
      <c r="AY45" t="str">
        <f t="shared" si="252"/>
        <v/>
      </c>
      <c r="AZ45" t="str">
        <f t="shared" si="252"/>
        <v/>
      </c>
      <c r="BA45">
        <f t="shared" si="252"/>
        <v>1.45674097107156</v>
      </c>
      <c r="BB45" t="str">
        <f t="shared" si="252"/>
        <v/>
      </c>
      <c r="BC45" t="str">
        <f t="shared" si="252"/>
        <v/>
      </c>
      <c r="BD45">
        <f t="shared" si="252"/>
        <v>1.36420060494506</v>
      </c>
      <c r="BE45" t="str">
        <f t="shared" si="252"/>
        <v/>
      </c>
      <c r="BF45" t="str">
        <f t="shared" si="252"/>
        <v/>
      </c>
      <c r="BG45">
        <f t="shared" si="252"/>
        <v>5.94278274573514</v>
      </c>
      <c r="BH45">
        <f t="shared" si="252"/>
        <v>1.52771326158016</v>
      </c>
      <c r="BI45">
        <f t="shared" si="252"/>
        <v>1.4656333105545</v>
      </c>
      <c r="BJ45">
        <f t="shared" si="252"/>
        <v>1.0054124302367</v>
      </c>
      <c r="BK45" t="str">
        <f t="shared" si="252"/>
        <v/>
      </c>
      <c r="BL45" t="str">
        <f t="shared" si="252"/>
        <v/>
      </c>
      <c r="BM45">
        <f t="shared" si="252"/>
        <v>5.29030751197018</v>
      </c>
      <c r="BN45">
        <f t="shared" si="252"/>
        <v>50.3557729320698</v>
      </c>
      <c r="BO45">
        <f t="shared" si="252"/>
        <v>1.19292505741534</v>
      </c>
      <c r="BP45" t="str">
        <f t="shared" si="252"/>
        <v/>
      </c>
      <c r="BQ45" t="str">
        <f t="shared" si="252"/>
        <v/>
      </c>
      <c r="BR45">
        <f t="shared" si="252"/>
        <v>1.43084265356634</v>
      </c>
      <c r="BS45">
        <f t="shared" si="252"/>
        <v>2.42241959367452</v>
      </c>
      <c r="BT45">
        <f t="shared" si="252"/>
        <v>2.19610760231741</v>
      </c>
      <c r="BU45" t="str">
        <f t="shared" si="252"/>
        <v/>
      </c>
      <c r="BV45">
        <f t="shared" ref="BV45:DJ45" si="253">IFERROR(BV18/BV40,"")</f>
        <v>1.19735634816976</v>
      </c>
      <c r="BW45">
        <f t="shared" si="253"/>
        <v>1.91601470298281</v>
      </c>
      <c r="BX45">
        <f t="shared" si="253"/>
        <v>1.0800813314897</v>
      </c>
      <c r="BY45">
        <f t="shared" si="253"/>
        <v>9.60706391701073</v>
      </c>
      <c r="BZ45">
        <f t="shared" si="253"/>
        <v>1.33667414843768</v>
      </c>
      <c r="CA45">
        <f t="shared" si="253"/>
        <v>1.26092738433596</v>
      </c>
      <c r="CB45" t="str">
        <f t="shared" si="253"/>
        <v/>
      </c>
      <c r="CC45">
        <f t="shared" si="253"/>
        <v>2.23762034407633</v>
      </c>
      <c r="CD45">
        <f t="shared" si="253"/>
        <v>1.31630752354468</v>
      </c>
      <c r="CE45" t="str">
        <f t="shared" si="253"/>
        <v/>
      </c>
      <c r="CF45" t="str">
        <f t="shared" si="253"/>
        <v/>
      </c>
      <c r="CG45">
        <f t="shared" si="253"/>
        <v>1.23384994364888</v>
      </c>
      <c r="CH45" t="str">
        <f t="shared" si="253"/>
        <v/>
      </c>
      <c r="CI45" t="str">
        <f t="shared" si="253"/>
        <v/>
      </c>
      <c r="CJ45">
        <f t="shared" si="253"/>
        <v>1.10261617406693</v>
      </c>
      <c r="CK45" t="str">
        <f t="shared" si="253"/>
        <v/>
      </c>
      <c r="CL45">
        <f t="shared" si="253"/>
        <v>1.39842450215338</v>
      </c>
      <c r="CM45" t="str">
        <f t="shared" si="253"/>
        <v/>
      </c>
      <c r="CN45" t="str">
        <f t="shared" si="253"/>
        <v/>
      </c>
      <c r="CO45" t="str">
        <f t="shared" si="253"/>
        <v/>
      </c>
      <c r="CP45">
        <f t="shared" si="253"/>
        <v>1.44197892767102</v>
      </c>
      <c r="CQ45" t="str">
        <f t="shared" si="253"/>
        <v/>
      </c>
      <c r="CR45" t="str">
        <f t="shared" si="253"/>
        <v/>
      </c>
      <c r="CS45" t="str">
        <f t="shared" si="253"/>
        <v/>
      </c>
      <c r="CT45">
        <f t="shared" si="253"/>
        <v>2.04149153259946</v>
      </c>
      <c r="CU45">
        <f t="shared" si="253"/>
        <v>1.54108516138028</v>
      </c>
      <c r="CV45">
        <f t="shared" si="253"/>
        <v>36.2585761276274</v>
      </c>
      <c r="CW45">
        <f t="shared" si="253"/>
        <v>1.3760577020599</v>
      </c>
      <c r="CX45">
        <f t="shared" si="253"/>
        <v>1.29529868755888</v>
      </c>
      <c r="CY45">
        <f t="shared" si="253"/>
        <v>1.52170680905097</v>
      </c>
      <c r="CZ45" t="str">
        <f t="shared" si="253"/>
        <v/>
      </c>
      <c r="DA45">
        <f t="shared" si="253"/>
        <v>1.27927000012191</v>
      </c>
      <c r="DB45">
        <f t="shared" si="253"/>
        <v>1.14319132728727</v>
      </c>
      <c r="DC45">
        <f t="shared" si="253"/>
        <v>1.5825129880158</v>
      </c>
      <c r="DD45" t="str">
        <f t="shared" si="253"/>
        <v/>
      </c>
      <c r="DE45">
        <f t="shared" si="253"/>
        <v>1.72516881320199</v>
      </c>
      <c r="DF45" t="str">
        <f t="shared" si="253"/>
        <v/>
      </c>
      <c r="DG45">
        <f t="shared" si="253"/>
        <v>6.54405450392825</v>
      </c>
      <c r="DH45">
        <f t="shared" si="253"/>
        <v>1.68112216008524</v>
      </c>
      <c r="DI45">
        <f t="shared" si="253"/>
        <v>4.6904125932095</v>
      </c>
      <c r="DJ45" t="str">
        <f t="shared" si="253"/>
        <v/>
      </c>
    </row>
    <row r="46" spans="2:114">
      <c r="B46" s="29">
        <f>MIN(F44:DJ47)</f>
        <v>0.652565599315862</v>
      </c>
      <c r="D46" s="12" t="s">
        <v>480</v>
      </c>
      <c r="F46" t="str">
        <f t="shared" ref="F46:I46" si="254">IFERROR(AVERAGE(F19:F21)/F41,"")</f>
        <v/>
      </c>
      <c r="G46">
        <f t="shared" si="254"/>
        <v>3.71333471515992</v>
      </c>
      <c r="H46">
        <f t="shared" si="254"/>
        <v>0.687630024687211</v>
      </c>
      <c r="I46">
        <f t="shared" si="254"/>
        <v>4.21073191132868</v>
      </c>
      <c r="J46" t="str">
        <f t="shared" ref="J46:BU46" si="255">IFERROR(AVERAGE(J19:J21)/J41,"")</f>
        <v/>
      </c>
      <c r="K46">
        <f t="shared" si="255"/>
        <v>1.52497838480104</v>
      </c>
      <c r="L46" t="str">
        <f t="shared" si="255"/>
        <v/>
      </c>
      <c r="M46" t="str">
        <f t="shared" si="255"/>
        <v/>
      </c>
      <c r="N46">
        <f t="shared" si="255"/>
        <v>1.792509378719</v>
      </c>
      <c r="O46" t="str">
        <f t="shared" si="255"/>
        <v/>
      </c>
      <c r="P46" t="str">
        <f t="shared" si="255"/>
        <v/>
      </c>
      <c r="Q46">
        <f t="shared" si="255"/>
        <v>1.70323829349355</v>
      </c>
      <c r="R46">
        <f t="shared" si="255"/>
        <v>2.21882835078951</v>
      </c>
      <c r="S46" t="str">
        <f t="shared" si="255"/>
        <v/>
      </c>
      <c r="T46">
        <f t="shared" si="255"/>
        <v>4.1342582447779</v>
      </c>
      <c r="U46">
        <f t="shared" si="255"/>
        <v>3.90374805306889</v>
      </c>
      <c r="V46">
        <f t="shared" si="255"/>
        <v>7.89373878205264</v>
      </c>
      <c r="W46">
        <f t="shared" si="255"/>
        <v>5.68160753175788</v>
      </c>
      <c r="X46">
        <f t="shared" si="255"/>
        <v>1.91767225173242</v>
      </c>
      <c r="Y46" t="str">
        <f t="shared" si="255"/>
        <v/>
      </c>
      <c r="Z46" t="str">
        <f t="shared" si="255"/>
        <v/>
      </c>
      <c r="AA46" t="str">
        <f t="shared" si="255"/>
        <v/>
      </c>
      <c r="AB46" t="str">
        <f t="shared" si="255"/>
        <v/>
      </c>
      <c r="AC46">
        <f t="shared" si="255"/>
        <v>14.9392043681493</v>
      </c>
      <c r="AD46">
        <f t="shared" si="255"/>
        <v>0.652565599315862</v>
      </c>
      <c r="AE46" t="str">
        <f t="shared" si="255"/>
        <v/>
      </c>
      <c r="AF46" t="str">
        <f t="shared" si="255"/>
        <v/>
      </c>
      <c r="AG46" t="str">
        <f t="shared" si="255"/>
        <v/>
      </c>
      <c r="AH46" t="str">
        <f t="shared" si="255"/>
        <v/>
      </c>
      <c r="AI46" t="str">
        <f t="shared" si="255"/>
        <v/>
      </c>
      <c r="AJ46" t="str">
        <f t="shared" si="255"/>
        <v/>
      </c>
      <c r="AK46">
        <f t="shared" si="255"/>
        <v>3.91551327433628</v>
      </c>
      <c r="AL46" t="str">
        <f t="shared" si="255"/>
        <v/>
      </c>
      <c r="AM46" t="str">
        <f t="shared" si="255"/>
        <v/>
      </c>
      <c r="AN46" t="str">
        <f t="shared" si="255"/>
        <v/>
      </c>
      <c r="AO46">
        <f t="shared" si="255"/>
        <v>37.9192841805462</v>
      </c>
      <c r="AP46">
        <f t="shared" si="255"/>
        <v>3.40366201279144</v>
      </c>
      <c r="AQ46">
        <f t="shared" si="255"/>
        <v>7.94147419486816</v>
      </c>
      <c r="AR46" t="str">
        <f t="shared" si="255"/>
        <v/>
      </c>
      <c r="AS46" t="str">
        <f t="shared" si="255"/>
        <v/>
      </c>
      <c r="AT46">
        <f t="shared" si="255"/>
        <v>16.344856912964</v>
      </c>
      <c r="AU46" t="str">
        <f t="shared" si="255"/>
        <v/>
      </c>
      <c r="AV46">
        <f t="shared" si="255"/>
        <v>2.71282380686661</v>
      </c>
      <c r="AW46">
        <f t="shared" si="255"/>
        <v>2.73190142694105</v>
      </c>
      <c r="AX46" t="str">
        <f t="shared" si="255"/>
        <v/>
      </c>
      <c r="AY46">
        <f t="shared" si="255"/>
        <v>2.25794026472204</v>
      </c>
      <c r="AZ46" t="str">
        <f t="shared" si="255"/>
        <v/>
      </c>
      <c r="BA46">
        <f t="shared" si="255"/>
        <v>2.48959983106324</v>
      </c>
      <c r="BB46" t="str">
        <f t="shared" si="255"/>
        <v/>
      </c>
      <c r="BC46" t="str">
        <f t="shared" si="255"/>
        <v/>
      </c>
      <c r="BD46">
        <f t="shared" si="255"/>
        <v>4.48807936911727</v>
      </c>
      <c r="BE46" t="str">
        <f t="shared" si="255"/>
        <v/>
      </c>
      <c r="BF46" t="str">
        <f t="shared" si="255"/>
        <v/>
      </c>
      <c r="BG46">
        <f t="shared" si="255"/>
        <v>9.16504415070342</v>
      </c>
      <c r="BH46">
        <f t="shared" si="255"/>
        <v>2.77029143405138</v>
      </c>
      <c r="BI46">
        <f t="shared" si="255"/>
        <v>27.4178249378736</v>
      </c>
      <c r="BJ46">
        <f t="shared" si="255"/>
        <v>2.1551702421145</v>
      </c>
      <c r="BK46">
        <f t="shared" si="255"/>
        <v>28.6792885990153</v>
      </c>
      <c r="BL46" t="str">
        <f t="shared" si="255"/>
        <v/>
      </c>
      <c r="BM46" t="str">
        <f t="shared" si="255"/>
        <v/>
      </c>
      <c r="BN46">
        <f t="shared" si="255"/>
        <v>3.69964433218628</v>
      </c>
      <c r="BO46">
        <f t="shared" si="255"/>
        <v>24.2982387718271</v>
      </c>
      <c r="BP46">
        <f t="shared" si="255"/>
        <v>27.0495303396449</v>
      </c>
      <c r="BQ46" t="str">
        <f t="shared" si="255"/>
        <v/>
      </c>
      <c r="BR46">
        <f t="shared" si="255"/>
        <v>18.5884277956581</v>
      </c>
      <c r="BS46">
        <f t="shared" si="255"/>
        <v>5.53556351728253</v>
      </c>
      <c r="BT46">
        <f t="shared" si="255"/>
        <v>5.24659676816899</v>
      </c>
      <c r="BU46" t="str">
        <f t="shared" si="255"/>
        <v/>
      </c>
      <c r="BV46">
        <f t="shared" ref="BV46:DJ46" si="256">IFERROR(AVERAGE(BV19:BV21)/BV41,"")</f>
        <v>2.08195222127162</v>
      </c>
      <c r="BW46">
        <f t="shared" si="256"/>
        <v>1.41475323957662</v>
      </c>
      <c r="BX46">
        <f t="shared" si="256"/>
        <v>1.81700667560496</v>
      </c>
      <c r="BY46">
        <f t="shared" si="256"/>
        <v>1.7889869608323</v>
      </c>
      <c r="BZ46">
        <f t="shared" si="256"/>
        <v>2.07245238694504</v>
      </c>
      <c r="CA46">
        <f t="shared" si="256"/>
        <v>2.08420277359632</v>
      </c>
      <c r="CB46" t="str">
        <f t="shared" si="256"/>
        <v/>
      </c>
      <c r="CC46">
        <f t="shared" si="256"/>
        <v>3.27162727596636</v>
      </c>
      <c r="CD46">
        <f t="shared" si="256"/>
        <v>6.56317962613443</v>
      </c>
      <c r="CE46" t="str">
        <f t="shared" si="256"/>
        <v/>
      </c>
      <c r="CF46" t="str">
        <f t="shared" si="256"/>
        <v/>
      </c>
      <c r="CG46" t="str">
        <f t="shared" si="256"/>
        <v/>
      </c>
      <c r="CH46" t="str">
        <f t="shared" si="256"/>
        <v/>
      </c>
      <c r="CI46" t="str">
        <f t="shared" si="256"/>
        <v/>
      </c>
      <c r="CJ46">
        <f t="shared" si="256"/>
        <v>2.09912412960762</v>
      </c>
      <c r="CK46" t="str">
        <f t="shared" si="256"/>
        <v/>
      </c>
      <c r="CL46">
        <f t="shared" si="256"/>
        <v>0.739688147781437</v>
      </c>
      <c r="CM46" t="str">
        <f t="shared" si="256"/>
        <v/>
      </c>
      <c r="CN46" t="str">
        <f t="shared" si="256"/>
        <v/>
      </c>
      <c r="CO46">
        <f t="shared" si="256"/>
        <v>11.5160462610537</v>
      </c>
      <c r="CP46">
        <f t="shared" si="256"/>
        <v>1.74939044764486</v>
      </c>
      <c r="CQ46" t="str">
        <f t="shared" si="256"/>
        <v/>
      </c>
      <c r="CR46">
        <f t="shared" si="256"/>
        <v>2.69701350191545</v>
      </c>
      <c r="CS46" t="str">
        <f t="shared" si="256"/>
        <v/>
      </c>
      <c r="CT46">
        <f t="shared" si="256"/>
        <v>9.97997222310055</v>
      </c>
      <c r="CU46">
        <f t="shared" si="256"/>
        <v>2.23492416797318</v>
      </c>
      <c r="CV46" t="str">
        <f t="shared" si="256"/>
        <v/>
      </c>
      <c r="CW46">
        <f t="shared" si="256"/>
        <v>20.2053312041137</v>
      </c>
      <c r="CX46" t="str">
        <f t="shared" si="256"/>
        <v/>
      </c>
      <c r="CY46" t="str">
        <f t="shared" si="256"/>
        <v/>
      </c>
      <c r="CZ46" t="str">
        <f t="shared" si="256"/>
        <v/>
      </c>
      <c r="DA46" t="str">
        <f t="shared" si="256"/>
        <v/>
      </c>
      <c r="DB46" t="str">
        <f t="shared" si="256"/>
        <v/>
      </c>
      <c r="DC46">
        <f t="shared" si="256"/>
        <v>5.86156743272655</v>
      </c>
      <c r="DD46" t="str">
        <f t="shared" si="256"/>
        <v/>
      </c>
      <c r="DE46">
        <f t="shared" si="256"/>
        <v>3.93315386129502</v>
      </c>
      <c r="DF46" t="str">
        <f t="shared" si="256"/>
        <v/>
      </c>
      <c r="DG46">
        <f t="shared" si="256"/>
        <v>2.6203092773076</v>
      </c>
      <c r="DH46">
        <f t="shared" si="256"/>
        <v>4.06517466032629</v>
      </c>
      <c r="DI46">
        <f t="shared" si="256"/>
        <v>2.56010752069341</v>
      </c>
      <c r="DJ46">
        <f t="shared" si="256"/>
        <v>36.1887322714256</v>
      </c>
    </row>
    <row r="47" spans="4:114">
      <c r="D47" s="12" t="s">
        <v>481</v>
      </c>
      <c r="F47" t="str">
        <f t="shared" ref="F47:I47" si="257">IFERROR(F22/F42,"")</f>
        <v/>
      </c>
      <c r="G47" t="str">
        <f t="shared" si="257"/>
        <v/>
      </c>
      <c r="H47" t="str">
        <f t="shared" si="257"/>
        <v/>
      </c>
      <c r="I47" t="str">
        <f t="shared" si="257"/>
        <v/>
      </c>
      <c r="J47" t="str">
        <f t="shared" ref="J47:BU47" si="258">IFERROR(J22/J42,"")</f>
        <v/>
      </c>
      <c r="K47">
        <f t="shared" si="258"/>
        <v>1.79189043338971</v>
      </c>
      <c r="L47">
        <f t="shared" si="258"/>
        <v>2.43811017597697</v>
      </c>
      <c r="M47" t="str">
        <f t="shared" si="258"/>
        <v/>
      </c>
      <c r="N47" t="str">
        <f t="shared" si="258"/>
        <v/>
      </c>
      <c r="O47">
        <f t="shared" si="258"/>
        <v>5.36626114157241</v>
      </c>
      <c r="P47">
        <f t="shared" si="258"/>
        <v>1.1807212138921</v>
      </c>
      <c r="Q47">
        <f t="shared" si="258"/>
        <v>3.94377975887449</v>
      </c>
      <c r="R47">
        <f t="shared" si="258"/>
        <v>1.99135133230618</v>
      </c>
      <c r="S47">
        <f t="shared" si="258"/>
        <v>2.37509436369629</v>
      </c>
      <c r="T47" t="str">
        <f t="shared" si="258"/>
        <v/>
      </c>
      <c r="U47">
        <f t="shared" si="258"/>
        <v>1.79912702772252</v>
      </c>
      <c r="V47">
        <f t="shared" si="258"/>
        <v>1.38530629687169</v>
      </c>
      <c r="W47" t="str">
        <f t="shared" si="258"/>
        <v/>
      </c>
      <c r="X47" t="str">
        <f t="shared" si="258"/>
        <v/>
      </c>
      <c r="Y47">
        <f t="shared" si="258"/>
        <v>2.35136842105263</v>
      </c>
      <c r="Z47" t="str">
        <f t="shared" si="258"/>
        <v/>
      </c>
      <c r="AA47">
        <f t="shared" si="258"/>
        <v>1.35313565333006</v>
      </c>
      <c r="AB47">
        <f t="shared" si="258"/>
        <v>1.2301564960505</v>
      </c>
      <c r="AC47" t="str">
        <f t="shared" si="258"/>
        <v/>
      </c>
      <c r="AD47" t="str">
        <f t="shared" si="258"/>
        <v/>
      </c>
      <c r="AE47">
        <f t="shared" si="258"/>
        <v>1.73162790697674</v>
      </c>
      <c r="AF47" t="str">
        <f t="shared" si="258"/>
        <v/>
      </c>
      <c r="AG47">
        <f t="shared" si="258"/>
        <v>1.14313668072418</v>
      </c>
      <c r="AH47">
        <f t="shared" si="258"/>
        <v>1.3205881304942</v>
      </c>
      <c r="AI47" t="str">
        <f t="shared" si="258"/>
        <v/>
      </c>
      <c r="AJ47">
        <f t="shared" si="258"/>
        <v>1.73934074309304</v>
      </c>
      <c r="AK47" t="str">
        <f t="shared" si="258"/>
        <v/>
      </c>
      <c r="AL47">
        <f t="shared" si="258"/>
        <v>6.46521271946638</v>
      </c>
      <c r="AM47">
        <f t="shared" si="258"/>
        <v>2.12603536345776</v>
      </c>
      <c r="AN47" t="str">
        <f t="shared" si="258"/>
        <v/>
      </c>
      <c r="AO47" t="str">
        <f t="shared" si="258"/>
        <v/>
      </c>
      <c r="AP47" t="str">
        <f t="shared" si="258"/>
        <v/>
      </c>
      <c r="AQ47" t="str">
        <f t="shared" si="258"/>
        <v/>
      </c>
      <c r="AR47" t="str">
        <f t="shared" si="258"/>
        <v/>
      </c>
      <c r="AS47" t="str">
        <f t="shared" si="258"/>
        <v/>
      </c>
      <c r="AT47" t="str">
        <f t="shared" si="258"/>
        <v/>
      </c>
      <c r="AU47">
        <f t="shared" si="258"/>
        <v>1.02302249091725</v>
      </c>
      <c r="AV47" t="str">
        <f t="shared" si="258"/>
        <v/>
      </c>
      <c r="AW47">
        <f t="shared" si="258"/>
        <v>1.03422066260708</v>
      </c>
      <c r="AX47" t="str">
        <f t="shared" si="258"/>
        <v/>
      </c>
      <c r="AY47" t="str">
        <f t="shared" si="258"/>
        <v/>
      </c>
      <c r="AZ47" t="str">
        <f t="shared" si="258"/>
        <v/>
      </c>
      <c r="BA47" t="str">
        <f t="shared" si="258"/>
        <v/>
      </c>
      <c r="BB47" t="str">
        <f t="shared" si="258"/>
        <v/>
      </c>
      <c r="BC47">
        <f t="shared" si="258"/>
        <v>2.86384615384615</v>
      </c>
      <c r="BD47" t="str">
        <f t="shared" si="258"/>
        <v/>
      </c>
      <c r="BE47">
        <f t="shared" si="258"/>
        <v>1.60765909090909</v>
      </c>
      <c r="BF47">
        <f t="shared" si="258"/>
        <v>15.8740761796475</v>
      </c>
      <c r="BG47" t="str">
        <f t="shared" si="258"/>
        <v/>
      </c>
      <c r="BH47">
        <f t="shared" si="258"/>
        <v>14.7254347185566</v>
      </c>
      <c r="BI47" t="str">
        <f t="shared" si="258"/>
        <v/>
      </c>
      <c r="BJ47" t="str">
        <f t="shared" si="258"/>
        <v/>
      </c>
      <c r="BK47" t="str">
        <f t="shared" si="258"/>
        <v/>
      </c>
      <c r="BL47" t="str">
        <f t="shared" si="258"/>
        <v/>
      </c>
      <c r="BM47" t="str">
        <f t="shared" si="258"/>
        <v/>
      </c>
      <c r="BN47" t="str">
        <f t="shared" si="258"/>
        <v/>
      </c>
      <c r="BO47">
        <f t="shared" si="258"/>
        <v>1.3375497384729</v>
      </c>
      <c r="BP47" t="str">
        <f t="shared" si="258"/>
        <v/>
      </c>
      <c r="BQ47" t="str">
        <f t="shared" si="258"/>
        <v/>
      </c>
      <c r="BR47" t="str">
        <f t="shared" si="258"/>
        <v/>
      </c>
      <c r="BS47" t="str">
        <f t="shared" si="258"/>
        <v/>
      </c>
      <c r="BT47" t="str">
        <f t="shared" si="258"/>
        <v/>
      </c>
      <c r="BU47">
        <f t="shared" si="258"/>
        <v>44.0952509603074</v>
      </c>
      <c r="BV47" t="str">
        <f t="shared" ref="BV47:DJ47" si="259">IFERROR(BV22/BV42,"")</f>
        <v/>
      </c>
      <c r="BW47" t="str">
        <f t="shared" si="259"/>
        <v/>
      </c>
      <c r="BX47">
        <f t="shared" si="259"/>
        <v>4.22383610937166</v>
      </c>
      <c r="BY47" t="str">
        <f t="shared" si="259"/>
        <v/>
      </c>
      <c r="BZ47">
        <f t="shared" si="259"/>
        <v>1.4811289954742</v>
      </c>
      <c r="CA47" t="str">
        <f t="shared" si="259"/>
        <v/>
      </c>
      <c r="CB47">
        <f t="shared" si="259"/>
        <v>1.13174217425786</v>
      </c>
      <c r="CC47">
        <f t="shared" si="259"/>
        <v>5.3987605817211</v>
      </c>
      <c r="CD47">
        <f t="shared" si="259"/>
        <v>4.67398994858797</v>
      </c>
      <c r="CE47">
        <f t="shared" si="259"/>
        <v>1.05663537598829</v>
      </c>
      <c r="CF47">
        <f t="shared" si="259"/>
        <v>1.29025852334846</v>
      </c>
      <c r="CG47" t="str">
        <f t="shared" si="259"/>
        <v/>
      </c>
      <c r="CH47">
        <f t="shared" si="259"/>
        <v>1.05073514999211</v>
      </c>
      <c r="CI47" t="str">
        <f t="shared" si="259"/>
        <v/>
      </c>
      <c r="CJ47" t="str">
        <f t="shared" si="259"/>
        <v/>
      </c>
      <c r="CK47">
        <f t="shared" si="259"/>
        <v>1.38317207346048</v>
      </c>
      <c r="CL47">
        <f t="shared" si="259"/>
        <v>1.97506631299735</v>
      </c>
      <c r="CM47">
        <f t="shared" si="259"/>
        <v>1.53349662509582</v>
      </c>
      <c r="CN47">
        <f t="shared" si="259"/>
        <v>1.965172</v>
      </c>
      <c r="CO47" t="str">
        <f t="shared" si="259"/>
        <v/>
      </c>
      <c r="CP47">
        <f t="shared" si="259"/>
        <v>3.29243982652693</v>
      </c>
      <c r="CQ47">
        <f t="shared" si="259"/>
        <v>1.16443488654757</v>
      </c>
      <c r="CR47" t="str">
        <f t="shared" si="259"/>
        <v/>
      </c>
      <c r="CS47">
        <f t="shared" si="259"/>
        <v>1.7010095609465</v>
      </c>
      <c r="CT47" t="str">
        <f t="shared" si="259"/>
        <v/>
      </c>
      <c r="CU47">
        <f t="shared" si="259"/>
        <v>2.14008547415925</v>
      </c>
      <c r="CV47" t="str">
        <f t="shared" si="259"/>
        <v/>
      </c>
      <c r="CW47">
        <f t="shared" si="259"/>
        <v>1.85610392000155</v>
      </c>
      <c r="CX47" t="str">
        <f t="shared" si="259"/>
        <v/>
      </c>
      <c r="CY47" t="str">
        <f t="shared" si="259"/>
        <v/>
      </c>
      <c r="CZ47">
        <f t="shared" si="259"/>
        <v>3.85688893581081</v>
      </c>
      <c r="DA47" t="str">
        <f t="shared" si="259"/>
        <v/>
      </c>
      <c r="DB47" t="str">
        <f t="shared" si="259"/>
        <v/>
      </c>
      <c r="DC47">
        <f t="shared" si="259"/>
        <v>1.2612829159963</v>
      </c>
      <c r="DD47" t="str">
        <f t="shared" si="259"/>
        <v/>
      </c>
      <c r="DE47">
        <f t="shared" si="259"/>
        <v>1.16021972074838</v>
      </c>
      <c r="DF47" t="str">
        <f t="shared" si="259"/>
        <v/>
      </c>
      <c r="DG47" t="str">
        <f t="shared" si="259"/>
        <v/>
      </c>
      <c r="DH47">
        <f t="shared" si="259"/>
        <v>3.50197048362439</v>
      </c>
      <c r="DI47" t="str">
        <f t="shared" si="259"/>
        <v/>
      </c>
      <c r="DJ47" t="str">
        <f t="shared" si="259"/>
        <v/>
      </c>
    </row>
    <row r="50" spans="2:123">
      <c r="B50" s="22" t="s">
        <v>482</v>
      </c>
      <c r="E50" s="22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S50" t="s">
        <v>483</v>
      </c>
    </row>
    <row r="51" spans="1:235">
      <c r="A51" s="25" t="s">
        <v>57</v>
      </c>
      <c r="B51" t="s">
        <v>4</v>
      </c>
      <c r="C51" t="s">
        <v>92</v>
      </c>
      <c r="D51" t="s">
        <v>265</v>
      </c>
      <c r="E51" t="s">
        <v>277</v>
      </c>
      <c r="F51" s="25" t="str">
        <f>F15</f>
        <v>Albania</v>
      </c>
      <c r="G51" s="25" t="str">
        <f t="shared" ref="G51:BR51" si="260">G15</f>
        <v>Algeria</v>
      </c>
      <c r="H51" s="25" t="str">
        <f t="shared" si="260"/>
        <v>Angola</v>
      </c>
      <c r="I51" s="25" t="str">
        <f t="shared" si="260"/>
        <v>Argentina</v>
      </c>
      <c r="J51" s="25" t="str">
        <f t="shared" si="260"/>
        <v>Armenia</v>
      </c>
      <c r="K51" s="25" t="str">
        <f t="shared" si="260"/>
        <v>Australia</v>
      </c>
      <c r="L51" s="25" t="str">
        <f t="shared" si="260"/>
        <v>Austria</v>
      </c>
      <c r="M51" s="25" t="str">
        <f t="shared" si="260"/>
        <v>Azerbaijan</v>
      </c>
      <c r="N51" s="25" t="str">
        <f t="shared" si="260"/>
        <v>Bangladesh</v>
      </c>
      <c r="O51" s="25" t="str">
        <f t="shared" si="260"/>
        <v>Belarus</v>
      </c>
      <c r="P51" s="25" t="str">
        <f t="shared" si="260"/>
        <v>Belgium</v>
      </c>
      <c r="Q51" s="25" t="str">
        <f t="shared" si="260"/>
        <v>Bosnia_Herz</v>
      </c>
      <c r="R51" s="25" t="str">
        <f t="shared" si="260"/>
        <v>Brazil</v>
      </c>
      <c r="S51" s="25" t="str">
        <f t="shared" si="260"/>
        <v>Bulgaria</v>
      </c>
      <c r="T51" s="25" t="str">
        <f t="shared" si="260"/>
        <v>Cameroon</v>
      </c>
      <c r="U51" s="25" t="str">
        <f t="shared" si="260"/>
        <v>Canada</v>
      </c>
      <c r="V51" s="25" t="str">
        <f t="shared" si="260"/>
        <v>Chile</v>
      </c>
      <c r="W51" s="25" t="str">
        <f t="shared" si="260"/>
        <v>China</v>
      </c>
      <c r="X51" s="25" t="str">
        <f t="shared" si="260"/>
        <v>Colombia</v>
      </c>
      <c r="Y51" s="25" t="str">
        <f t="shared" si="260"/>
        <v>Croatia</v>
      </c>
      <c r="Z51" s="25" t="str">
        <f t="shared" si="260"/>
        <v>Cyprus</v>
      </c>
      <c r="AA51" s="25" t="str">
        <f t="shared" si="260"/>
        <v>Czech</v>
      </c>
      <c r="AB51" s="25" t="str">
        <f t="shared" si="260"/>
        <v>Denmark</v>
      </c>
      <c r="AC51" s="25" t="str">
        <f t="shared" si="260"/>
        <v>DR_Congo</v>
      </c>
      <c r="AD51" s="25" t="str">
        <f t="shared" si="260"/>
        <v>Egypt</v>
      </c>
      <c r="AE51" s="25" t="str">
        <f t="shared" si="260"/>
        <v>Estonia</v>
      </c>
      <c r="AF51" s="25" t="str">
        <f t="shared" si="260"/>
        <v>Ethiopia</v>
      </c>
      <c r="AG51" s="25" t="str">
        <f t="shared" si="260"/>
        <v>Finland</v>
      </c>
      <c r="AH51" s="25" t="str">
        <f t="shared" si="260"/>
        <v>France</v>
      </c>
      <c r="AI51" s="25" t="str">
        <f t="shared" si="260"/>
        <v>Georgia</v>
      </c>
      <c r="AJ51" s="25" t="str">
        <f t="shared" si="260"/>
        <v>Germany</v>
      </c>
      <c r="AK51" s="25" t="str">
        <f t="shared" si="260"/>
        <v>Ghana</v>
      </c>
      <c r="AL51" s="25" t="str">
        <f t="shared" si="260"/>
        <v>Greece</v>
      </c>
      <c r="AM51" s="25" t="str">
        <f t="shared" si="260"/>
        <v>Hungary</v>
      </c>
      <c r="AN51" s="25" t="str">
        <f t="shared" si="260"/>
        <v>Iceland</v>
      </c>
      <c r="AO51" s="25" t="str">
        <f t="shared" si="260"/>
        <v>India</v>
      </c>
      <c r="AP51" s="25" t="str">
        <f t="shared" si="260"/>
        <v>Indonesia</v>
      </c>
      <c r="AQ51" s="25" t="str">
        <f t="shared" si="260"/>
        <v>Iran</v>
      </c>
      <c r="AR51" s="25" t="str">
        <f t="shared" si="260"/>
        <v>Iraq</v>
      </c>
      <c r="AS51" s="25" t="str">
        <f t="shared" si="260"/>
        <v>Ireland</v>
      </c>
      <c r="AT51" s="25" t="str">
        <f t="shared" si="260"/>
        <v>Israel</v>
      </c>
      <c r="AU51" s="25" t="str">
        <f t="shared" si="260"/>
        <v>Italy</v>
      </c>
      <c r="AV51" s="25" t="str">
        <f t="shared" si="260"/>
        <v>IvoryCoast</v>
      </c>
      <c r="AW51" s="25" t="str">
        <f t="shared" si="260"/>
        <v>Japan</v>
      </c>
      <c r="AX51" s="25" t="str">
        <f t="shared" si="260"/>
        <v>Kazakhstan</v>
      </c>
      <c r="AY51" s="25" t="str">
        <f t="shared" si="260"/>
        <v>Kenya</v>
      </c>
      <c r="AZ51" s="25" t="str">
        <f t="shared" si="260"/>
        <v>Kosovo</v>
      </c>
      <c r="BA51" s="25" t="str">
        <f t="shared" si="260"/>
        <v>Kuwait</v>
      </c>
      <c r="BB51" s="25" t="str">
        <f t="shared" si="260"/>
        <v>Kyrgyzstan</v>
      </c>
      <c r="BC51" s="25" t="str">
        <f t="shared" si="260"/>
        <v>Latvia</v>
      </c>
      <c r="BD51" s="25" t="str">
        <f t="shared" si="260"/>
        <v>Libya</v>
      </c>
      <c r="BE51" s="25" t="str">
        <f t="shared" si="260"/>
        <v>Lithuania</v>
      </c>
      <c r="BF51" s="25" t="str">
        <f t="shared" si="260"/>
        <v>Luxembourg</v>
      </c>
      <c r="BG51" s="25" t="str">
        <f t="shared" si="260"/>
        <v>Macedonia</v>
      </c>
      <c r="BH51" s="25" t="str">
        <f t="shared" si="260"/>
        <v>Malaysia</v>
      </c>
      <c r="BI51" s="25" t="str">
        <f t="shared" si="260"/>
        <v>Malta</v>
      </c>
      <c r="BJ51" s="25" t="str">
        <f t="shared" si="260"/>
        <v>Mexico</v>
      </c>
      <c r="BK51" s="25" t="str">
        <f t="shared" si="260"/>
        <v>Moldova</v>
      </c>
      <c r="BL51" s="25" t="str">
        <f t="shared" si="260"/>
        <v>Montenegro</v>
      </c>
      <c r="BM51" s="25" t="str">
        <f t="shared" si="260"/>
        <v>Morocco</v>
      </c>
      <c r="BN51" s="25" t="str">
        <f t="shared" si="260"/>
        <v>Mozambique</v>
      </c>
      <c r="BO51" s="25" t="str">
        <f t="shared" si="260"/>
        <v>Myanmar</v>
      </c>
      <c r="BP51" s="25" t="str">
        <f t="shared" si="260"/>
        <v>Nepal</v>
      </c>
      <c r="BQ51" s="25" t="str">
        <f t="shared" si="260"/>
        <v>Netherlands</v>
      </c>
      <c r="BR51" s="25" t="str">
        <f t="shared" si="260"/>
        <v>NewZealand</v>
      </c>
      <c r="BS51" s="25" t="str">
        <f t="shared" ref="BS51:DJ51" si="261">BS15</f>
        <v>Niger</v>
      </c>
      <c r="BT51" s="25" t="str">
        <f t="shared" si="261"/>
        <v>Nigeria</v>
      </c>
      <c r="BU51" s="25" t="str">
        <f t="shared" si="261"/>
        <v>Norway</v>
      </c>
      <c r="BV51" s="25" t="str">
        <f t="shared" si="261"/>
        <v>Oman</v>
      </c>
      <c r="BW51" s="25" t="str">
        <f t="shared" si="261"/>
        <v>Other_Africa</v>
      </c>
      <c r="BX51" s="25" t="str">
        <f t="shared" si="261"/>
        <v>Other_AsiaEm</v>
      </c>
      <c r="BY51" s="25" t="str">
        <f t="shared" si="261"/>
        <v>Other_EurDev</v>
      </c>
      <c r="BZ51" s="25" t="str">
        <f t="shared" si="261"/>
        <v>Other_LatAm</v>
      </c>
      <c r="CA51" s="25" t="str">
        <f t="shared" si="261"/>
        <v>Other_MidEast</v>
      </c>
      <c r="CB51" s="25" t="str">
        <f t="shared" si="261"/>
        <v>Pakistan</v>
      </c>
      <c r="CC51" s="25" t="str">
        <f t="shared" si="261"/>
        <v>Peru</v>
      </c>
      <c r="CD51" s="25" t="str">
        <f t="shared" si="261"/>
        <v>Philippines</v>
      </c>
      <c r="CE51" s="25" t="str">
        <f t="shared" si="261"/>
        <v>Poland</v>
      </c>
      <c r="CF51" s="25" t="str">
        <f t="shared" si="261"/>
        <v>Portugal</v>
      </c>
      <c r="CG51" s="25" t="str">
        <f t="shared" si="261"/>
        <v>Qatar</v>
      </c>
      <c r="CH51" s="25" t="str">
        <f t="shared" si="261"/>
        <v>Romania</v>
      </c>
      <c r="CI51" s="25" t="str">
        <f t="shared" si="261"/>
        <v>Russia</v>
      </c>
      <c r="CJ51" s="25" t="str">
        <f t="shared" si="261"/>
        <v>SaudiArabia</v>
      </c>
      <c r="CK51" s="25" t="str">
        <f t="shared" si="261"/>
        <v>Serbia</v>
      </c>
      <c r="CL51" s="25" t="str">
        <f t="shared" si="261"/>
        <v>Singapore</v>
      </c>
      <c r="CM51" s="25" t="str">
        <f t="shared" si="261"/>
        <v>Slovak</v>
      </c>
      <c r="CN51" s="25" t="str">
        <f t="shared" si="261"/>
        <v>Slovenia</v>
      </c>
      <c r="CO51" s="25" t="str">
        <f t="shared" si="261"/>
        <v>SouthAfrica</v>
      </c>
      <c r="CP51" s="25" t="str">
        <f t="shared" si="261"/>
        <v>SouthKorea</v>
      </c>
      <c r="CQ51" s="25" t="str">
        <f t="shared" si="261"/>
        <v>Spain</v>
      </c>
      <c r="CR51" s="25" t="str">
        <f t="shared" si="261"/>
        <v>Sudan</v>
      </c>
      <c r="CS51" s="25" t="str">
        <f t="shared" si="261"/>
        <v>Sweden</v>
      </c>
      <c r="CT51" s="25" t="str">
        <f t="shared" si="261"/>
        <v>Switzerland</v>
      </c>
      <c r="CU51" s="25" t="str">
        <f t="shared" si="261"/>
        <v>Taiwan</v>
      </c>
      <c r="CV51" s="25" t="str">
        <f t="shared" si="261"/>
        <v>Tajikistan</v>
      </c>
      <c r="CW51" s="25" t="str">
        <f t="shared" si="261"/>
        <v>Tanzania</v>
      </c>
      <c r="CX51" s="25" t="str">
        <f t="shared" si="261"/>
        <v>Thailand</v>
      </c>
      <c r="CY51" s="25" t="str">
        <f t="shared" si="261"/>
        <v>Tunisia</v>
      </c>
      <c r="CZ51" s="25" t="str">
        <f t="shared" si="261"/>
        <v>Turkey</v>
      </c>
      <c r="DA51" s="25" t="str">
        <f t="shared" si="261"/>
        <v>Turkmenistan</v>
      </c>
      <c r="DB51" s="25" t="str">
        <f t="shared" si="261"/>
        <v>UAE</v>
      </c>
      <c r="DC51" s="25" t="str">
        <f t="shared" si="261"/>
        <v>UK</v>
      </c>
      <c r="DD51" s="25" t="str">
        <f t="shared" si="261"/>
        <v>Ukraine</v>
      </c>
      <c r="DE51" s="25" t="str">
        <f t="shared" si="261"/>
        <v>USA</v>
      </c>
      <c r="DF51" s="25" t="str">
        <f t="shared" si="261"/>
        <v>Uzbekistan</v>
      </c>
      <c r="DG51" s="25" t="str">
        <f t="shared" si="261"/>
        <v>Venezuela</v>
      </c>
      <c r="DH51" s="25" t="str">
        <f t="shared" si="261"/>
        <v>Vietnam</v>
      </c>
      <c r="DI51" s="25" t="str">
        <f t="shared" si="261"/>
        <v>Yemen</v>
      </c>
      <c r="DJ51" s="25" t="str">
        <f t="shared" si="261"/>
        <v>Zambia</v>
      </c>
      <c r="DK51" s="25" t="s">
        <v>467</v>
      </c>
      <c r="DL51" s="25" t="s">
        <v>402</v>
      </c>
      <c r="DM51" s="25" t="s">
        <v>42</v>
      </c>
      <c r="DP51" s="17">
        <v>0.94</v>
      </c>
      <c r="DQ51" s="17">
        <f>DP51/2</f>
        <v>0.47</v>
      </c>
      <c r="DS51" s="25" t="str">
        <f>F51</f>
        <v>Albania</v>
      </c>
      <c r="DT51" s="25" t="str">
        <f t="shared" ref="DT51" si="262">G51</f>
        <v>Algeria</v>
      </c>
      <c r="DU51" s="25" t="str">
        <f t="shared" ref="DU51" si="263">H51</f>
        <v>Angola</v>
      </c>
      <c r="DV51" s="25" t="str">
        <f t="shared" ref="DV51" si="264">I51</f>
        <v>Argentina</v>
      </c>
      <c r="DW51" s="25" t="str">
        <f t="shared" ref="DW51" si="265">J51</f>
        <v>Armenia</v>
      </c>
      <c r="DX51" s="25" t="str">
        <f t="shared" ref="DX51" si="266">K51</f>
        <v>Australia</v>
      </c>
      <c r="DY51" s="25" t="str">
        <f t="shared" ref="DY51" si="267">L51</f>
        <v>Austria</v>
      </c>
      <c r="DZ51" s="25" t="str">
        <f t="shared" ref="DZ51" si="268">M51</f>
        <v>Azerbaijan</v>
      </c>
      <c r="EA51" s="25" t="str">
        <f t="shared" ref="EA51" si="269">N51</f>
        <v>Bangladesh</v>
      </c>
      <c r="EB51" s="25" t="str">
        <f t="shared" ref="EB51" si="270">O51</f>
        <v>Belarus</v>
      </c>
      <c r="EC51" s="25" t="str">
        <f t="shared" ref="EC51" si="271">P51</f>
        <v>Belgium</v>
      </c>
      <c r="ED51" s="25" t="str">
        <f t="shared" ref="ED51" si="272">Q51</f>
        <v>Bosnia_Herz</v>
      </c>
      <c r="EE51" s="25" t="str">
        <f t="shared" ref="EE51" si="273">R51</f>
        <v>Brazil</v>
      </c>
      <c r="EF51" s="25" t="str">
        <f t="shared" ref="EF51" si="274">S51</f>
        <v>Bulgaria</v>
      </c>
      <c r="EG51" s="25" t="str">
        <f t="shared" ref="EG51" si="275">T51</f>
        <v>Cameroon</v>
      </c>
      <c r="EH51" s="25" t="str">
        <f t="shared" ref="EH51" si="276">U51</f>
        <v>Canada</v>
      </c>
      <c r="EI51" s="25" t="str">
        <f t="shared" ref="EI51" si="277">V51</f>
        <v>Chile</v>
      </c>
      <c r="EJ51" s="25" t="str">
        <f t="shared" ref="EJ51" si="278">W51</f>
        <v>China</v>
      </c>
      <c r="EK51" s="25" t="str">
        <f t="shared" ref="EK51" si="279">X51</f>
        <v>Colombia</v>
      </c>
      <c r="EL51" s="25" t="str">
        <f t="shared" ref="EL51" si="280">Y51</f>
        <v>Croatia</v>
      </c>
      <c r="EM51" s="25" t="str">
        <f t="shared" ref="EM51" si="281">Z51</f>
        <v>Cyprus</v>
      </c>
      <c r="EN51" s="25" t="str">
        <f t="shared" ref="EN51" si="282">AA51</f>
        <v>Czech</v>
      </c>
      <c r="EO51" s="25" t="str">
        <f t="shared" ref="EO51" si="283">AB51</f>
        <v>Denmark</v>
      </c>
      <c r="EP51" s="25" t="str">
        <f t="shared" ref="EP51" si="284">AC51</f>
        <v>DR_Congo</v>
      </c>
      <c r="EQ51" s="25" t="str">
        <f t="shared" ref="EQ51" si="285">AD51</f>
        <v>Egypt</v>
      </c>
      <c r="ER51" s="25" t="str">
        <f t="shared" ref="ER51" si="286">AE51</f>
        <v>Estonia</v>
      </c>
      <c r="ES51" s="25" t="str">
        <f t="shared" ref="ES51" si="287">AF51</f>
        <v>Ethiopia</v>
      </c>
      <c r="ET51" s="25" t="str">
        <f t="shared" ref="ET51" si="288">AG51</f>
        <v>Finland</v>
      </c>
      <c r="EU51" s="25" t="str">
        <f t="shared" ref="EU51" si="289">AH51</f>
        <v>France</v>
      </c>
      <c r="EV51" s="25" t="str">
        <f t="shared" ref="EV51" si="290">AI51</f>
        <v>Georgia</v>
      </c>
      <c r="EW51" s="25" t="str">
        <f t="shared" ref="EW51" si="291">AJ51</f>
        <v>Germany</v>
      </c>
      <c r="EX51" s="25" t="str">
        <f t="shared" ref="EX51" si="292">AK51</f>
        <v>Ghana</v>
      </c>
      <c r="EY51" s="25" t="str">
        <f t="shared" ref="EY51" si="293">AL51</f>
        <v>Greece</v>
      </c>
      <c r="EZ51" s="25" t="str">
        <f t="shared" ref="EZ51" si="294">AM51</f>
        <v>Hungary</v>
      </c>
      <c r="FA51" s="25" t="str">
        <f t="shared" ref="FA51" si="295">AN51</f>
        <v>Iceland</v>
      </c>
      <c r="FB51" s="25" t="str">
        <f t="shared" ref="FB51" si="296">AO51</f>
        <v>India</v>
      </c>
      <c r="FC51" s="25" t="str">
        <f t="shared" ref="FC51" si="297">AP51</f>
        <v>Indonesia</v>
      </c>
      <c r="FD51" s="25" t="str">
        <f t="shared" ref="FD51" si="298">AQ51</f>
        <v>Iran</v>
      </c>
      <c r="FE51" s="25" t="str">
        <f t="shared" ref="FE51" si="299">AR51</f>
        <v>Iraq</v>
      </c>
      <c r="FF51" s="25" t="str">
        <f t="shared" ref="FF51" si="300">AS51</f>
        <v>Ireland</v>
      </c>
      <c r="FG51" s="25" t="str">
        <f t="shared" ref="FG51" si="301">AT51</f>
        <v>Israel</v>
      </c>
      <c r="FH51" s="25" t="str">
        <f t="shared" ref="FH51" si="302">AU51</f>
        <v>Italy</v>
      </c>
      <c r="FI51" s="25" t="str">
        <f t="shared" ref="FI51" si="303">AV51</f>
        <v>IvoryCoast</v>
      </c>
      <c r="FJ51" s="25" t="str">
        <f t="shared" ref="FJ51" si="304">AW51</f>
        <v>Japan</v>
      </c>
      <c r="FK51" s="25" t="str">
        <f t="shared" ref="FK51" si="305">AX51</f>
        <v>Kazakhstan</v>
      </c>
      <c r="FL51" s="25" t="str">
        <f t="shared" ref="FL51" si="306">AY51</f>
        <v>Kenya</v>
      </c>
      <c r="FM51" s="25" t="str">
        <f t="shared" ref="FM51" si="307">AZ51</f>
        <v>Kosovo</v>
      </c>
      <c r="FN51" s="25" t="str">
        <f t="shared" ref="FN51" si="308">BA51</f>
        <v>Kuwait</v>
      </c>
      <c r="FO51" s="25" t="str">
        <f t="shared" ref="FO51" si="309">BB51</f>
        <v>Kyrgyzstan</v>
      </c>
      <c r="FP51" s="25" t="str">
        <f t="shared" ref="FP51" si="310">BC51</f>
        <v>Latvia</v>
      </c>
      <c r="FQ51" s="25" t="str">
        <f t="shared" ref="FQ51" si="311">BD51</f>
        <v>Libya</v>
      </c>
      <c r="FR51" s="25" t="str">
        <f t="shared" ref="FR51" si="312">BE51</f>
        <v>Lithuania</v>
      </c>
      <c r="FS51" s="25" t="str">
        <f t="shared" ref="FS51" si="313">BF51</f>
        <v>Luxembourg</v>
      </c>
      <c r="FT51" s="25" t="str">
        <f t="shared" ref="FT51" si="314">BG51</f>
        <v>Macedonia</v>
      </c>
      <c r="FU51" s="25" t="str">
        <f t="shared" ref="FU51" si="315">BH51</f>
        <v>Malaysia</v>
      </c>
      <c r="FV51" s="25" t="str">
        <f t="shared" ref="FV51" si="316">BI51</f>
        <v>Malta</v>
      </c>
      <c r="FW51" s="25" t="str">
        <f t="shared" ref="FW51" si="317">BJ51</f>
        <v>Mexico</v>
      </c>
      <c r="FX51" s="25" t="str">
        <f t="shared" ref="FX51" si="318">BK51</f>
        <v>Moldova</v>
      </c>
      <c r="FY51" s="25" t="str">
        <f t="shared" ref="FY51" si="319">BL51</f>
        <v>Montenegro</v>
      </c>
      <c r="FZ51" s="25" t="str">
        <f t="shared" ref="FZ51" si="320">BM51</f>
        <v>Morocco</v>
      </c>
      <c r="GA51" s="25" t="str">
        <f t="shared" ref="GA51" si="321">BN51</f>
        <v>Mozambique</v>
      </c>
      <c r="GB51" s="25" t="str">
        <f t="shared" ref="GB51" si="322">BO51</f>
        <v>Myanmar</v>
      </c>
      <c r="GC51" s="25" t="str">
        <f t="shared" ref="GC51" si="323">BP51</f>
        <v>Nepal</v>
      </c>
      <c r="GD51" s="25" t="str">
        <f t="shared" ref="GD51" si="324">BQ51</f>
        <v>Netherlands</v>
      </c>
      <c r="GE51" s="25" t="str">
        <f t="shared" ref="GE51:GU51" si="325">BR51</f>
        <v>NewZealand</v>
      </c>
      <c r="GF51" s="25" t="str">
        <f t="shared" si="325"/>
        <v>Niger</v>
      </c>
      <c r="GG51" s="25" t="str">
        <f t="shared" si="325"/>
        <v>Nigeria</v>
      </c>
      <c r="GH51" s="25" t="str">
        <f t="shared" si="325"/>
        <v>Norway</v>
      </c>
      <c r="GI51" s="25" t="str">
        <f t="shared" si="325"/>
        <v>Oman</v>
      </c>
      <c r="GJ51" s="25" t="str">
        <f t="shared" si="325"/>
        <v>Other_Africa</v>
      </c>
      <c r="GK51" s="25" t="str">
        <f t="shared" si="325"/>
        <v>Other_AsiaEm</v>
      </c>
      <c r="GL51" s="25" t="str">
        <f t="shared" si="325"/>
        <v>Other_EurDev</v>
      </c>
      <c r="GM51" s="25" t="str">
        <f t="shared" si="325"/>
        <v>Other_LatAm</v>
      </c>
      <c r="GN51" s="25" t="str">
        <f t="shared" si="325"/>
        <v>Other_MidEast</v>
      </c>
      <c r="GO51" s="25" t="str">
        <f t="shared" si="325"/>
        <v>Pakistan</v>
      </c>
      <c r="GP51" s="25" t="str">
        <f t="shared" si="325"/>
        <v>Peru</v>
      </c>
      <c r="GQ51" s="25" t="str">
        <f t="shared" si="325"/>
        <v>Philippines</v>
      </c>
      <c r="GR51" s="25" t="str">
        <f t="shared" si="325"/>
        <v>Poland</v>
      </c>
      <c r="GS51" s="25" t="str">
        <f t="shared" si="325"/>
        <v>Portugal</v>
      </c>
      <c r="GT51" s="25" t="str">
        <f t="shared" si="325"/>
        <v>Qatar</v>
      </c>
      <c r="GU51" s="25" t="str">
        <f t="shared" si="325"/>
        <v>Romania</v>
      </c>
      <c r="GV51" s="25" t="str">
        <f t="shared" ref="GV51:HJ51" si="326">CI51</f>
        <v>Russia</v>
      </c>
      <c r="GW51" s="25" t="str">
        <f t="shared" si="326"/>
        <v>SaudiArabia</v>
      </c>
      <c r="GX51" s="25" t="str">
        <f t="shared" si="326"/>
        <v>Serbia</v>
      </c>
      <c r="GY51" s="25" t="str">
        <f t="shared" si="326"/>
        <v>Singapore</v>
      </c>
      <c r="GZ51" s="25" t="str">
        <f t="shared" si="326"/>
        <v>Slovak</v>
      </c>
      <c r="HA51" s="25" t="str">
        <f t="shared" si="326"/>
        <v>Slovenia</v>
      </c>
      <c r="HB51" s="25" t="str">
        <f t="shared" si="326"/>
        <v>SouthAfrica</v>
      </c>
      <c r="HC51" s="25" t="str">
        <f t="shared" si="326"/>
        <v>SouthKorea</v>
      </c>
      <c r="HD51" s="25" t="str">
        <f t="shared" si="326"/>
        <v>Spain</v>
      </c>
      <c r="HE51" s="25" t="str">
        <f t="shared" si="326"/>
        <v>Sudan</v>
      </c>
      <c r="HF51" s="25" t="str">
        <f t="shared" si="326"/>
        <v>Sweden</v>
      </c>
      <c r="HG51" s="25" t="str">
        <f t="shared" si="326"/>
        <v>Switzerland</v>
      </c>
      <c r="HH51" s="25" t="str">
        <f t="shared" si="326"/>
        <v>Taiwan</v>
      </c>
      <c r="HI51" s="25" t="str">
        <f t="shared" si="326"/>
        <v>Tajikistan</v>
      </c>
      <c r="HJ51" s="25" t="str">
        <f t="shared" si="326"/>
        <v>Tanzania</v>
      </c>
      <c r="HK51" s="25" t="str">
        <f t="shared" ref="HK51" si="327">CX51</f>
        <v>Thailand</v>
      </c>
      <c r="HL51" s="25" t="str">
        <f t="shared" ref="HL51" si="328">CY51</f>
        <v>Tunisia</v>
      </c>
      <c r="HM51" s="25" t="str">
        <f t="shared" ref="HM51" si="329">CZ51</f>
        <v>Turkey</v>
      </c>
      <c r="HN51" s="25" t="str">
        <f t="shared" ref="HN51" si="330">DA51</f>
        <v>Turkmenistan</v>
      </c>
      <c r="HO51" s="25" t="str">
        <f t="shared" ref="HO51" si="331">DB51</f>
        <v>UAE</v>
      </c>
      <c r="HP51" s="25" t="str">
        <f t="shared" ref="HP51" si="332">DC51</f>
        <v>UK</v>
      </c>
      <c r="HQ51" s="25" t="str">
        <f t="shared" ref="HQ51" si="333">DD51</f>
        <v>Ukraine</v>
      </c>
      <c r="HR51" s="25" t="str">
        <f t="shared" ref="HR51" si="334">DE51</f>
        <v>USA</v>
      </c>
      <c r="HS51" s="25" t="str">
        <f t="shared" ref="HS51" si="335">DF51</f>
        <v>Uzbekistan</v>
      </c>
      <c r="HT51" s="25" t="str">
        <f t="shared" ref="HT51" si="336">DG51</f>
        <v>Venezuela</v>
      </c>
      <c r="HU51" s="25" t="str">
        <f t="shared" ref="HU51" si="337">DH51</f>
        <v>Vietnam</v>
      </c>
      <c r="HV51" s="25" t="str">
        <f t="shared" ref="HV51" si="338">DI51</f>
        <v>Yemen</v>
      </c>
      <c r="HW51" s="25" t="str">
        <f t="shared" ref="HW51" si="339">DJ51</f>
        <v>Zambia</v>
      </c>
      <c r="HX51" s="25" t="str">
        <f t="shared" ref="HX51:HY58" si="340">C51</f>
        <v>PSET_SET</v>
      </c>
      <c r="HY51" s="25" t="str">
        <f t="shared" si="340"/>
        <v>PSET_CI</v>
      </c>
      <c r="HZ51" s="25" t="s">
        <v>484</v>
      </c>
      <c r="IA51" s="25" t="str">
        <f t="shared" ref="IA51:IA58" si="341">A51</f>
        <v>Year</v>
      </c>
    </row>
    <row r="52" spans="1:235">
      <c r="A52">
        <v>2019</v>
      </c>
      <c r="B52" t="str">
        <f t="shared" ref="B52:B58" si="342">"UCE_utilization_"&amp;RIGHT(A4,3)&amp;"_"&amp;RIGHT(B$50,2)</f>
        <v>UCE_utilization_COB_LO</v>
      </c>
      <c r="C52" t="s">
        <v>404</v>
      </c>
      <c r="D52" t="str">
        <f t="shared" ref="D52:D58" si="343">D16</f>
        <v>???COB</v>
      </c>
      <c r="F52" s="25">
        <f>ROUNDDOWN(-F4*$DP$51,2)</f>
        <v>0</v>
      </c>
      <c r="G52" s="25">
        <f t="shared" ref="G52:BR52" si="344">ROUNDDOWN(-G4*$DP$51,2)</f>
        <v>0</v>
      </c>
      <c r="H52" s="25">
        <f t="shared" si="344"/>
        <v>0</v>
      </c>
      <c r="I52" s="25">
        <f t="shared" si="344"/>
        <v>0</v>
      </c>
      <c r="J52" s="25">
        <f t="shared" si="344"/>
        <v>0</v>
      </c>
      <c r="K52" s="25">
        <f t="shared" si="344"/>
        <v>-0.79</v>
      </c>
      <c r="L52" s="25">
        <f t="shared" si="344"/>
        <v>0</v>
      </c>
      <c r="M52" s="25">
        <f t="shared" si="344"/>
        <v>0</v>
      </c>
      <c r="N52" s="25">
        <f t="shared" si="344"/>
        <v>0</v>
      </c>
      <c r="O52" s="25">
        <f t="shared" si="344"/>
        <v>0</v>
      </c>
      <c r="P52" s="25">
        <f t="shared" si="344"/>
        <v>0</v>
      </c>
      <c r="Q52" s="25">
        <f t="shared" si="344"/>
        <v>-0.61</v>
      </c>
      <c r="R52" s="25">
        <f t="shared" si="344"/>
        <v>0</v>
      </c>
      <c r="S52" s="25">
        <f t="shared" si="344"/>
        <v>-0.45</v>
      </c>
      <c r="T52" s="25">
        <f t="shared" si="344"/>
        <v>0</v>
      </c>
      <c r="U52" s="25">
        <f t="shared" si="344"/>
        <v>-0.79</v>
      </c>
      <c r="V52" s="25">
        <f t="shared" si="344"/>
        <v>0</v>
      </c>
      <c r="W52" s="25">
        <f t="shared" si="344"/>
        <v>0</v>
      </c>
      <c r="X52" s="25">
        <f t="shared" si="344"/>
        <v>0</v>
      </c>
      <c r="Y52" s="25">
        <f t="shared" si="344"/>
        <v>0</v>
      </c>
      <c r="Z52" s="25">
        <f t="shared" si="344"/>
        <v>0</v>
      </c>
      <c r="AA52" s="25">
        <f t="shared" si="344"/>
        <v>-0.53</v>
      </c>
      <c r="AB52" s="25">
        <f t="shared" si="344"/>
        <v>0</v>
      </c>
      <c r="AC52" s="25">
        <f t="shared" si="344"/>
        <v>0</v>
      </c>
      <c r="AD52" s="25">
        <f t="shared" si="344"/>
        <v>0</v>
      </c>
      <c r="AE52" s="25">
        <f t="shared" si="344"/>
        <v>0</v>
      </c>
      <c r="AF52" s="25">
        <f t="shared" si="344"/>
        <v>0</v>
      </c>
      <c r="AG52" s="25">
        <f t="shared" si="344"/>
        <v>0</v>
      </c>
      <c r="AH52" s="25">
        <f t="shared" si="344"/>
        <v>0</v>
      </c>
      <c r="AI52" s="25">
        <f t="shared" si="344"/>
        <v>0</v>
      </c>
      <c r="AJ52" s="25">
        <f t="shared" si="344"/>
        <v>-0.61</v>
      </c>
      <c r="AK52" s="25">
        <f t="shared" si="344"/>
        <v>0</v>
      </c>
      <c r="AL52" s="25">
        <f t="shared" si="344"/>
        <v>-0.46</v>
      </c>
      <c r="AM52" s="25">
        <f t="shared" si="344"/>
        <v>-0.37</v>
      </c>
      <c r="AN52" s="25">
        <f t="shared" si="344"/>
        <v>0</v>
      </c>
      <c r="AO52" s="25">
        <f t="shared" si="344"/>
        <v>-0.45</v>
      </c>
      <c r="AP52" s="25">
        <f t="shared" si="344"/>
        <v>-0.63</v>
      </c>
      <c r="AQ52" s="25">
        <f t="shared" si="344"/>
        <v>0</v>
      </c>
      <c r="AR52" s="25">
        <f t="shared" si="344"/>
        <v>0</v>
      </c>
      <c r="AS52" s="25">
        <f t="shared" si="344"/>
        <v>0</v>
      </c>
      <c r="AT52" s="25">
        <f t="shared" si="344"/>
        <v>0</v>
      </c>
      <c r="AU52" s="25">
        <f t="shared" si="344"/>
        <v>0</v>
      </c>
      <c r="AV52" s="25">
        <f t="shared" si="344"/>
        <v>0</v>
      </c>
      <c r="AW52" s="25">
        <f t="shared" si="344"/>
        <v>0</v>
      </c>
      <c r="AX52" s="25">
        <f t="shared" si="344"/>
        <v>0</v>
      </c>
      <c r="AY52" s="25">
        <f t="shared" si="344"/>
        <v>0</v>
      </c>
      <c r="AZ52" s="25">
        <f t="shared" si="344"/>
        <v>-0.5</v>
      </c>
      <c r="BA52" s="25">
        <f t="shared" si="344"/>
        <v>0</v>
      </c>
      <c r="BB52" s="25">
        <f t="shared" si="344"/>
        <v>0</v>
      </c>
      <c r="BC52" s="25">
        <f t="shared" si="344"/>
        <v>0</v>
      </c>
      <c r="BD52" s="25">
        <f t="shared" si="344"/>
        <v>0</v>
      </c>
      <c r="BE52" s="25">
        <f t="shared" si="344"/>
        <v>0</v>
      </c>
      <c r="BF52" s="25">
        <f t="shared" si="344"/>
        <v>0</v>
      </c>
      <c r="BG52" s="25">
        <f t="shared" si="344"/>
        <v>-0.53</v>
      </c>
      <c r="BH52" s="25">
        <f t="shared" si="344"/>
        <v>0</v>
      </c>
      <c r="BI52" s="25">
        <f t="shared" si="344"/>
        <v>0</v>
      </c>
      <c r="BJ52" s="25">
        <f t="shared" si="344"/>
        <v>0</v>
      </c>
      <c r="BK52" s="25">
        <f t="shared" si="344"/>
        <v>0</v>
      </c>
      <c r="BL52" s="25">
        <f t="shared" si="344"/>
        <v>-0.71</v>
      </c>
      <c r="BM52" s="25">
        <f t="shared" si="344"/>
        <v>0</v>
      </c>
      <c r="BN52" s="25">
        <f t="shared" si="344"/>
        <v>0</v>
      </c>
      <c r="BO52" s="25">
        <f t="shared" si="344"/>
        <v>0</v>
      </c>
      <c r="BP52" s="25">
        <f t="shared" si="344"/>
        <v>0</v>
      </c>
      <c r="BQ52" s="25">
        <f t="shared" si="344"/>
        <v>0</v>
      </c>
      <c r="BR52" s="25">
        <f t="shared" si="344"/>
        <v>-0.33</v>
      </c>
      <c r="BS52" s="25">
        <f t="shared" ref="BS52:DJ52" si="345">ROUNDDOWN(-BS4*$DP$51,2)</f>
        <v>0</v>
      </c>
      <c r="BT52" s="25">
        <f t="shared" si="345"/>
        <v>0</v>
      </c>
      <c r="BU52" s="25">
        <f t="shared" si="345"/>
        <v>0</v>
      </c>
      <c r="BV52" s="25">
        <f t="shared" si="345"/>
        <v>0</v>
      </c>
      <c r="BW52" s="25">
        <f t="shared" si="345"/>
        <v>0</v>
      </c>
      <c r="BX52" s="25">
        <f t="shared" si="345"/>
        <v>-0.42</v>
      </c>
      <c r="BY52" s="25">
        <f t="shared" si="345"/>
        <v>0</v>
      </c>
      <c r="BZ52" s="25">
        <f t="shared" si="345"/>
        <v>0</v>
      </c>
      <c r="CA52" s="25">
        <f t="shared" si="345"/>
        <v>0</v>
      </c>
      <c r="CB52" s="25">
        <f t="shared" si="345"/>
        <v>0</v>
      </c>
      <c r="CC52" s="25">
        <f t="shared" si="345"/>
        <v>0</v>
      </c>
      <c r="CD52" s="25">
        <f t="shared" si="345"/>
        <v>-0.79</v>
      </c>
      <c r="CE52" s="25">
        <f t="shared" si="345"/>
        <v>-0.59</v>
      </c>
      <c r="CF52" s="25">
        <f t="shared" si="345"/>
        <v>0</v>
      </c>
      <c r="CG52" s="25">
        <f t="shared" si="345"/>
        <v>0</v>
      </c>
      <c r="CH52" s="25">
        <f t="shared" si="345"/>
        <v>-0.36</v>
      </c>
      <c r="CI52" s="25">
        <f t="shared" si="345"/>
        <v>-0.33</v>
      </c>
      <c r="CJ52" s="25">
        <f t="shared" si="345"/>
        <v>0</v>
      </c>
      <c r="CK52" s="25">
        <f t="shared" si="345"/>
        <v>-0.64</v>
      </c>
      <c r="CL52" s="25">
        <f t="shared" si="345"/>
        <v>0</v>
      </c>
      <c r="CM52" s="25">
        <f t="shared" si="345"/>
        <v>-0.28</v>
      </c>
      <c r="CN52" s="25">
        <f t="shared" si="345"/>
        <v>-0.79</v>
      </c>
      <c r="CO52" s="25">
        <f t="shared" si="345"/>
        <v>0</v>
      </c>
      <c r="CP52" s="25">
        <f t="shared" si="345"/>
        <v>-0.36</v>
      </c>
      <c r="CQ52" s="25">
        <f t="shared" si="345"/>
        <v>0</v>
      </c>
      <c r="CR52" s="25">
        <f t="shared" si="345"/>
        <v>0</v>
      </c>
      <c r="CS52" s="25">
        <f t="shared" si="345"/>
        <v>0</v>
      </c>
      <c r="CT52" s="25">
        <f t="shared" si="345"/>
        <v>0</v>
      </c>
      <c r="CU52" s="25">
        <f t="shared" si="345"/>
        <v>-0.3</v>
      </c>
      <c r="CV52" s="25">
        <f t="shared" si="345"/>
        <v>0</v>
      </c>
      <c r="CW52" s="25">
        <f t="shared" si="345"/>
        <v>0</v>
      </c>
      <c r="CX52" s="25">
        <f t="shared" si="345"/>
        <v>-0.68</v>
      </c>
      <c r="CY52" s="25">
        <f t="shared" si="345"/>
        <v>0</v>
      </c>
      <c r="CZ52" s="25">
        <f t="shared" si="345"/>
        <v>-0.55</v>
      </c>
      <c r="DA52" s="25">
        <f t="shared" si="345"/>
        <v>0</v>
      </c>
      <c r="DB52" s="25">
        <f t="shared" si="345"/>
        <v>0</v>
      </c>
      <c r="DC52" s="25">
        <f t="shared" si="345"/>
        <v>0</v>
      </c>
      <c r="DD52" s="25">
        <f t="shared" si="345"/>
        <v>0</v>
      </c>
      <c r="DE52" s="25">
        <f t="shared" si="345"/>
        <v>-0.58</v>
      </c>
      <c r="DF52" s="25">
        <f t="shared" si="345"/>
        <v>-0.09</v>
      </c>
      <c r="DG52" s="25">
        <f t="shared" si="345"/>
        <v>0</v>
      </c>
      <c r="DH52" s="25">
        <f t="shared" si="345"/>
        <v>0</v>
      </c>
      <c r="DI52" s="25">
        <f t="shared" si="345"/>
        <v>0</v>
      </c>
      <c r="DJ52" s="25">
        <f t="shared" si="345"/>
        <v>0</v>
      </c>
      <c r="DK52" s="7">
        <f>1/31.536</f>
        <v>0.0317097919837646</v>
      </c>
      <c r="DL52">
        <v>0</v>
      </c>
      <c r="DM52">
        <v>5</v>
      </c>
      <c r="DS52" s="25">
        <f t="shared" ref="DS52:EB58" si="346">F4*$DQ$51</f>
        <v>0</v>
      </c>
      <c r="DT52" s="25">
        <f t="shared" si="346"/>
        <v>0</v>
      </c>
      <c r="DU52" s="25">
        <f t="shared" si="346"/>
        <v>0</v>
      </c>
      <c r="DV52" s="25">
        <f t="shared" si="346"/>
        <v>0</v>
      </c>
      <c r="DW52" s="25">
        <f t="shared" si="346"/>
        <v>0</v>
      </c>
      <c r="DX52" s="25">
        <f t="shared" si="346"/>
        <v>0.3995</v>
      </c>
      <c r="DY52" s="25">
        <f t="shared" si="346"/>
        <v>0</v>
      </c>
      <c r="DZ52" s="25">
        <f t="shared" si="346"/>
        <v>0</v>
      </c>
      <c r="EA52" s="25">
        <f t="shared" si="346"/>
        <v>0</v>
      </c>
      <c r="EB52" s="25">
        <f t="shared" si="346"/>
        <v>0</v>
      </c>
      <c r="EC52" s="25">
        <f t="shared" ref="EC52:EL58" si="347">P4*$DQ$51</f>
        <v>0</v>
      </c>
      <c r="ED52" s="25">
        <f t="shared" si="347"/>
        <v>0.309725280877907</v>
      </c>
      <c r="EE52" s="25">
        <f t="shared" si="347"/>
        <v>0</v>
      </c>
      <c r="EF52" s="25">
        <f t="shared" si="347"/>
        <v>0.227715047078247</v>
      </c>
      <c r="EG52" s="25">
        <f t="shared" si="347"/>
        <v>0</v>
      </c>
      <c r="EH52" s="25">
        <f t="shared" si="347"/>
        <v>0.3995</v>
      </c>
      <c r="EI52" s="25">
        <f t="shared" si="347"/>
        <v>0</v>
      </c>
      <c r="EJ52" s="25">
        <f t="shared" si="347"/>
        <v>0</v>
      </c>
      <c r="EK52" s="25">
        <f t="shared" si="347"/>
        <v>0</v>
      </c>
      <c r="EL52" s="25">
        <f t="shared" si="347"/>
        <v>0</v>
      </c>
      <c r="EM52" s="25">
        <f t="shared" ref="EM52:EV58" si="348">Z4*$DQ$51</f>
        <v>0</v>
      </c>
      <c r="EN52" s="25">
        <f t="shared" si="348"/>
        <v>0.267879519539513</v>
      </c>
      <c r="EO52" s="25">
        <f t="shared" si="348"/>
        <v>0</v>
      </c>
      <c r="EP52" s="25">
        <f t="shared" si="348"/>
        <v>0</v>
      </c>
      <c r="EQ52" s="25">
        <f t="shared" si="348"/>
        <v>0</v>
      </c>
      <c r="ER52" s="25">
        <f t="shared" si="348"/>
        <v>0</v>
      </c>
      <c r="ES52" s="25">
        <f t="shared" si="348"/>
        <v>0</v>
      </c>
      <c r="ET52" s="25">
        <f t="shared" si="348"/>
        <v>0</v>
      </c>
      <c r="EU52" s="25">
        <f t="shared" si="348"/>
        <v>0</v>
      </c>
      <c r="EV52" s="25">
        <f t="shared" si="348"/>
        <v>0</v>
      </c>
      <c r="EW52" s="25">
        <f t="shared" ref="EW52:FF58" si="349">AJ4*$DQ$51</f>
        <v>0.306612398809076</v>
      </c>
      <c r="EX52" s="25">
        <f t="shared" si="349"/>
        <v>0</v>
      </c>
      <c r="EY52" s="25">
        <f t="shared" si="349"/>
        <v>0.234232919052951</v>
      </c>
      <c r="EZ52" s="25">
        <f t="shared" si="349"/>
        <v>0.18876267352014</v>
      </c>
      <c r="FA52" s="25">
        <f t="shared" si="349"/>
        <v>0</v>
      </c>
      <c r="FB52" s="25">
        <f t="shared" si="349"/>
        <v>0.225666495628673</v>
      </c>
      <c r="FC52" s="25">
        <f t="shared" si="349"/>
        <v>0.315775520142241</v>
      </c>
      <c r="FD52" s="25">
        <f t="shared" si="349"/>
        <v>0</v>
      </c>
      <c r="FE52" s="25">
        <f t="shared" si="349"/>
        <v>0</v>
      </c>
      <c r="FF52" s="25">
        <f t="shared" si="349"/>
        <v>0</v>
      </c>
      <c r="FG52" s="25">
        <f t="shared" ref="FG52:FP58" si="350">AT4*$DQ$51</f>
        <v>0</v>
      </c>
      <c r="FH52" s="25">
        <f t="shared" si="350"/>
        <v>0</v>
      </c>
      <c r="FI52" s="25">
        <f t="shared" si="350"/>
        <v>0</v>
      </c>
      <c r="FJ52" s="25">
        <f t="shared" si="350"/>
        <v>0</v>
      </c>
      <c r="FK52" s="25">
        <f t="shared" si="350"/>
        <v>0</v>
      </c>
      <c r="FL52" s="25">
        <f t="shared" si="350"/>
        <v>0</v>
      </c>
      <c r="FM52" s="25">
        <f t="shared" si="350"/>
        <v>0.250734815933521</v>
      </c>
      <c r="FN52" s="25">
        <f t="shared" si="350"/>
        <v>0</v>
      </c>
      <c r="FO52" s="25">
        <f t="shared" si="350"/>
        <v>0</v>
      </c>
      <c r="FP52" s="25">
        <f t="shared" si="350"/>
        <v>0</v>
      </c>
      <c r="FQ52" s="25">
        <f t="shared" ref="FQ52:FZ58" si="351">BD4*$DQ$51</f>
        <v>0</v>
      </c>
      <c r="FR52" s="25">
        <f t="shared" si="351"/>
        <v>0</v>
      </c>
      <c r="FS52" s="25">
        <f t="shared" si="351"/>
        <v>0</v>
      </c>
      <c r="FT52" s="25">
        <f t="shared" si="351"/>
        <v>0.269233740634043</v>
      </c>
      <c r="FU52" s="25">
        <f t="shared" si="351"/>
        <v>0</v>
      </c>
      <c r="FV52" s="25">
        <f t="shared" si="351"/>
        <v>0</v>
      </c>
      <c r="FW52" s="25">
        <f t="shared" si="351"/>
        <v>0</v>
      </c>
      <c r="FX52" s="25">
        <f t="shared" si="351"/>
        <v>0</v>
      </c>
      <c r="FY52" s="25">
        <f t="shared" si="351"/>
        <v>0.358735667174023</v>
      </c>
      <c r="FZ52" s="25">
        <f t="shared" si="351"/>
        <v>0</v>
      </c>
      <c r="GA52" s="25">
        <f t="shared" ref="GA52:GJ58" si="352">BN4*$DQ$51</f>
        <v>0</v>
      </c>
      <c r="GB52" s="25">
        <f t="shared" si="352"/>
        <v>0</v>
      </c>
      <c r="GC52" s="25">
        <f t="shared" si="352"/>
        <v>0</v>
      </c>
      <c r="GD52" s="25">
        <f t="shared" si="352"/>
        <v>0</v>
      </c>
      <c r="GE52" s="25">
        <f t="shared" si="352"/>
        <v>0.167993452054795</v>
      </c>
      <c r="GF52" s="25">
        <f t="shared" si="352"/>
        <v>0</v>
      </c>
      <c r="GG52" s="25">
        <f t="shared" si="352"/>
        <v>0</v>
      </c>
      <c r="GH52" s="25">
        <f t="shared" si="352"/>
        <v>0</v>
      </c>
      <c r="GI52" s="25">
        <f t="shared" si="352"/>
        <v>0</v>
      </c>
      <c r="GJ52" s="25">
        <f t="shared" si="352"/>
        <v>0</v>
      </c>
      <c r="GK52" s="25">
        <f t="shared" ref="GK52:GT58" si="353">BX4*$DQ$51</f>
        <v>0.210439324580666</v>
      </c>
      <c r="GL52" s="25">
        <f t="shared" si="353"/>
        <v>0</v>
      </c>
      <c r="GM52" s="25">
        <f t="shared" si="353"/>
        <v>0</v>
      </c>
      <c r="GN52" s="25">
        <f t="shared" si="353"/>
        <v>0</v>
      </c>
      <c r="GO52" s="25">
        <f t="shared" si="353"/>
        <v>0</v>
      </c>
      <c r="GP52" s="25">
        <f t="shared" si="353"/>
        <v>0</v>
      </c>
      <c r="GQ52" s="25">
        <f t="shared" si="353"/>
        <v>0.3995</v>
      </c>
      <c r="GR52" s="25">
        <f t="shared" si="353"/>
        <v>0.296288693534321</v>
      </c>
      <c r="GS52" s="25">
        <f t="shared" si="353"/>
        <v>0</v>
      </c>
      <c r="GT52" s="25">
        <f t="shared" si="353"/>
        <v>0</v>
      </c>
      <c r="GU52" s="25">
        <f t="shared" ref="GU52:GU58" si="354">CH4*$DQ$51</f>
        <v>0.18022700969615</v>
      </c>
      <c r="GV52" s="25">
        <f t="shared" ref="GV52:HW52" si="355">CI4*$DQ$51</f>
        <v>0.166420725862678</v>
      </c>
      <c r="GW52" s="25">
        <f t="shared" si="355"/>
        <v>0</v>
      </c>
      <c r="GX52" s="25">
        <f t="shared" si="355"/>
        <v>0.321291504772792</v>
      </c>
      <c r="GY52" s="25">
        <f t="shared" si="355"/>
        <v>0</v>
      </c>
      <c r="GZ52" s="25">
        <f t="shared" si="355"/>
        <v>0.142129749289222</v>
      </c>
      <c r="HA52" s="25">
        <f t="shared" si="355"/>
        <v>0.397724355022831</v>
      </c>
      <c r="HB52" s="25">
        <f t="shared" si="355"/>
        <v>0</v>
      </c>
      <c r="HC52" s="25">
        <f t="shared" si="355"/>
        <v>0.181656145876279</v>
      </c>
      <c r="HD52" s="25">
        <f t="shared" si="355"/>
        <v>0</v>
      </c>
      <c r="HE52" s="25">
        <f t="shared" si="355"/>
        <v>0</v>
      </c>
      <c r="HF52" s="25">
        <f t="shared" si="355"/>
        <v>0</v>
      </c>
      <c r="HG52" s="25">
        <f t="shared" si="355"/>
        <v>0</v>
      </c>
      <c r="HH52" s="25">
        <f t="shared" si="355"/>
        <v>0.151771755393323</v>
      </c>
      <c r="HI52" s="25">
        <f t="shared" si="355"/>
        <v>0</v>
      </c>
      <c r="HJ52" s="25">
        <f t="shared" si="355"/>
        <v>0</v>
      </c>
      <c r="HK52" s="25">
        <f t="shared" si="355"/>
        <v>0.342777638637832</v>
      </c>
      <c r="HL52" s="25">
        <f t="shared" si="355"/>
        <v>0</v>
      </c>
      <c r="HM52" s="25">
        <f t="shared" si="355"/>
        <v>0.279358327241465</v>
      </c>
      <c r="HN52" s="25">
        <f t="shared" si="355"/>
        <v>0</v>
      </c>
      <c r="HO52" s="25">
        <f t="shared" si="355"/>
        <v>0</v>
      </c>
      <c r="HP52" s="25">
        <f t="shared" si="355"/>
        <v>0</v>
      </c>
      <c r="HQ52" s="25">
        <f t="shared" si="355"/>
        <v>0</v>
      </c>
      <c r="HR52" s="25">
        <f t="shared" si="355"/>
        <v>0.292245237094185</v>
      </c>
      <c r="HS52" s="25">
        <f t="shared" si="355"/>
        <v>0.047801757560093</v>
      </c>
      <c r="HT52" s="25">
        <f t="shared" si="355"/>
        <v>0</v>
      </c>
      <c r="HU52" s="25">
        <f t="shared" si="355"/>
        <v>0</v>
      </c>
      <c r="HV52" s="25">
        <f t="shared" si="355"/>
        <v>0</v>
      </c>
      <c r="HW52" s="25">
        <f t="shared" si="355"/>
        <v>0</v>
      </c>
      <c r="HX52" s="25" t="str">
        <f t="shared" si="340"/>
        <v>ELE,CHP</v>
      </c>
      <c r="HY52" s="25" t="str">
        <f t="shared" si="340"/>
        <v>???COB</v>
      </c>
      <c r="HZ52" t="s">
        <v>247</v>
      </c>
      <c r="IA52">
        <f t="shared" si="341"/>
        <v>2019</v>
      </c>
    </row>
    <row r="53" spans="1:235">
      <c r="A53">
        <v>2019</v>
      </c>
      <c r="B53" t="str">
        <f t="shared" si="342"/>
        <v>UCE_utilization_COA_LO</v>
      </c>
      <c r="C53" t="s">
        <v>404</v>
      </c>
      <c r="D53" t="str">
        <f t="shared" si="343"/>
        <v>???COA</v>
      </c>
      <c r="F53" s="25">
        <f t="shared" ref="F53:BQ53" si="356">ROUNDDOWN(-F5*$DP$51,2)</f>
        <v>0</v>
      </c>
      <c r="G53" s="25">
        <f t="shared" si="356"/>
        <v>0</v>
      </c>
      <c r="H53" s="25">
        <f t="shared" si="356"/>
        <v>0</v>
      </c>
      <c r="I53" s="25">
        <f t="shared" si="356"/>
        <v>-0.11</v>
      </c>
      <c r="J53" s="25">
        <f t="shared" si="356"/>
        <v>0</v>
      </c>
      <c r="K53" s="25">
        <f t="shared" si="356"/>
        <v>-0.57</v>
      </c>
      <c r="L53" s="25">
        <f t="shared" si="356"/>
        <v>0</v>
      </c>
      <c r="M53" s="25">
        <f t="shared" si="356"/>
        <v>0</v>
      </c>
      <c r="N53" s="25">
        <f t="shared" si="356"/>
        <v>-0.44</v>
      </c>
      <c r="O53" s="25">
        <f t="shared" si="356"/>
        <v>-0.32</v>
      </c>
      <c r="P53" s="25">
        <f t="shared" si="356"/>
        <v>0</v>
      </c>
      <c r="Q53" s="25">
        <f t="shared" si="356"/>
        <v>0</v>
      </c>
      <c r="R53" s="25">
        <f t="shared" si="356"/>
        <v>-0.25</v>
      </c>
      <c r="S53" s="25">
        <f t="shared" si="356"/>
        <v>-0.11</v>
      </c>
      <c r="T53" s="25">
        <f t="shared" si="356"/>
        <v>0</v>
      </c>
      <c r="U53" s="25">
        <f t="shared" si="356"/>
        <v>-0.35</v>
      </c>
      <c r="V53" s="25">
        <f t="shared" si="356"/>
        <v>-0.79</v>
      </c>
      <c r="W53" s="25">
        <f t="shared" si="356"/>
        <v>-0.61</v>
      </c>
      <c r="X53" s="25">
        <f t="shared" si="356"/>
        <v>-0.6</v>
      </c>
      <c r="Y53" s="25">
        <f t="shared" si="356"/>
        <v>-0.6</v>
      </c>
      <c r="Z53" s="25">
        <f t="shared" si="356"/>
        <v>0</v>
      </c>
      <c r="AA53" s="25">
        <f t="shared" si="356"/>
        <v>-0.17</v>
      </c>
      <c r="AB53" s="25">
        <f t="shared" si="356"/>
        <v>-0.13</v>
      </c>
      <c r="AC53" s="25">
        <f t="shared" si="356"/>
        <v>0</v>
      </c>
      <c r="AD53" s="25">
        <f t="shared" si="356"/>
        <v>0</v>
      </c>
      <c r="AE53" s="25">
        <f t="shared" si="356"/>
        <v>0</v>
      </c>
      <c r="AF53" s="25">
        <f t="shared" si="356"/>
        <v>0</v>
      </c>
      <c r="AG53" s="25">
        <f t="shared" si="356"/>
        <v>-0.13</v>
      </c>
      <c r="AH53" s="25">
        <f t="shared" si="356"/>
        <v>-0.19</v>
      </c>
      <c r="AI53" s="25">
        <f t="shared" si="356"/>
        <v>0</v>
      </c>
      <c r="AJ53" s="25">
        <f t="shared" si="356"/>
        <v>-0.29</v>
      </c>
      <c r="AK53" s="25">
        <f t="shared" si="356"/>
        <v>0</v>
      </c>
      <c r="AL53" s="25">
        <f t="shared" si="356"/>
        <v>0</v>
      </c>
      <c r="AM53" s="25">
        <f t="shared" si="356"/>
        <v>0</v>
      </c>
      <c r="AN53" s="25">
        <f t="shared" si="356"/>
        <v>0</v>
      </c>
      <c r="AO53" s="25">
        <f t="shared" si="356"/>
        <v>-0.56</v>
      </c>
      <c r="AP53" s="25">
        <f t="shared" si="356"/>
        <v>0</v>
      </c>
      <c r="AQ53" s="25">
        <f t="shared" si="356"/>
        <v>0</v>
      </c>
      <c r="AR53" s="25">
        <f t="shared" si="356"/>
        <v>0</v>
      </c>
      <c r="AS53" s="25">
        <f t="shared" si="356"/>
        <v>-0.05</v>
      </c>
      <c r="AT53" s="25">
        <f t="shared" si="356"/>
        <v>-0.47</v>
      </c>
      <c r="AU53" s="25">
        <f t="shared" si="356"/>
        <v>-0.26</v>
      </c>
      <c r="AV53" s="25">
        <f t="shared" si="356"/>
        <v>0</v>
      </c>
      <c r="AW53" s="25">
        <f t="shared" si="356"/>
        <v>-0.68</v>
      </c>
      <c r="AX53" s="25">
        <f t="shared" si="356"/>
        <v>-0.78</v>
      </c>
      <c r="AY53" s="25">
        <f t="shared" si="356"/>
        <v>0</v>
      </c>
      <c r="AZ53" s="25">
        <f t="shared" si="356"/>
        <v>0</v>
      </c>
      <c r="BA53" s="25">
        <f t="shared" si="356"/>
        <v>0</v>
      </c>
      <c r="BB53" s="25">
        <f t="shared" si="356"/>
        <v>0</v>
      </c>
      <c r="BC53" s="25">
        <f t="shared" si="356"/>
        <v>0</v>
      </c>
      <c r="BD53" s="25">
        <f t="shared" si="356"/>
        <v>0</v>
      </c>
      <c r="BE53" s="25">
        <f t="shared" si="356"/>
        <v>0</v>
      </c>
      <c r="BF53" s="25">
        <f t="shared" si="356"/>
        <v>0</v>
      </c>
      <c r="BG53" s="25">
        <f t="shared" si="356"/>
        <v>0</v>
      </c>
      <c r="BH53" s="25">
        <f t="shared" si="356"/>
        <v>-0.79</v>
      </c>
      <c r="BI53" s="25">
        <f t="shared" si="356"/>
        <v>0</v>
      </c>
      <c r="BJ53" s="25">
        <f t="shared" si="356"/>
        <v>-0.31</v>
      </c>
      <c r="BK53" s="25">
        <f t="shared" si="356"/>
        <v>0</v>
      </c>
      <c r="BL53" s="25">
        <f t="shared" si="356"/>
        <v>0</v>
      </c>
      <c r="BM53" s="25">
        <f t="shared" si="356"/>
        <v>-0.66</v>
      </c>
      <c r="BN53" s="25">
        <f t="shared" si="356"/>
        <v>0</v>
      </c>
      <c r="BO53" s="25">
        <f t="shared" si="356"/>
        <v>-0.79</v>
      </c>
      <c r="BP53" s="25">
        <f t="shared" si="356"/>
        <v>0</v>
      </c>
      <c r="BQ53" s="25">
        <f t="shared" si="356"/>
        <v>-0.41</v>
      </c>
      <c r="BR53" s="25">
        <f t="shared" ref="BR53:DJ53" si="357">ROUNDDOWN(-BR5*$DP$51,2)</f>
        <v>0</v>
      </c>
      <c r="BS53" s="25">
        <f t="shared" si="357"/>
        <v>0</v>
      </c>
      <c r="BT53" s="25">
        <f t="shared" si="357"/>
        <v>0</v>
      </c>
      <c r="BU53" s="25">
        <f t="shared" si="357"/>
        <v>-0.25</v>
      </c>
      <c r="BV53" s="25">
        <f t="shared" si="357"/>
        <v>0</v>
      </c>
      <c r="BW53" s="25">
        <f t="shared" si="357"/>
        <v>-0.38</v>
      </c>
      <c r="BX53" s="25">
        <f t="shared" si="357"/>
        <v>-0.62</v>
      </c>
      <c r="BY53" s="25">
        <f t="shared" si="357"/>
        <v>0</v>
      </c>
      <c r="BZ53" s="25">
        <f t="shared" si="357"/>
        <v>-0.67</v>
      </c>
      <c r="CA53" s="25">
        <f t="shared" si="357"/>
        <v>0</v>
      </c>
      <c r="CB53" s="25">
        <f t="shared" si="357"/>
        <v>-0.79</v>
      </c>
      <c r="CC53" s="25">
        <f t="shared" si="357"/>
        <v>-0.02</v>
      </c>
      <c r="CD53" s="25">
        <f t="shared" si="357"/>
        <v>0</v>
      </c>
      <c r="CE53" s="25">
        <f t="shared" si="357"/>
        <v>-0.37</v>
      </c>
      <c r="CF53" s="25">
        <f t="shared" si="357"/>
        <v>0</v>
      </c>
      <c r="CG53" s="25">
        <f t="shared" si="357"/>
        <v>0</v>
      </c>
      <c r="CH53" s="25">
        <f t="shared" si="357"/>
        <v>0</v>
      </c>
      <c r="CI53" s="25">
        <f t="shared" si="357"/>
        <v>-0.45</v>
      </c>
      <c r="CJ53" s="25">
        <f t="shared" si="357"/>
        <v>0</v>
      </c>
      <c r="CK53" s="25">
        <f t="shared" si="357"/>
        <v>0</v>
      </c>
      <c r="CL53" s="25">
        <f t="shared" si="357"/>
        <v>-0.48</v>
      </c>
      <c r="CM53" s="25">
        <f t="shared" si="357"/>
        <v>-0.52</v>
      </c>
      <c r="CN53" s="25">
        <f t="shared" si="357"/>
        <v>0</v>
      </c>
      <c r="CO53" s="25">
        <f t="shared" si="357"/>
        <v>-0.55</v>
      </c>
      <c r="CP53" s="25">
        <f t="shared" si="357"/>
        <v>-0.75</v>
      </c>
      <c r="CQ53" s="25">
        <f t="shared" si="357"/>
        <v>-0.79</v>
      </c>
      <c r="CR53" s="25">
        <f t="shared" si="357"/>
        <v>0</v>
      </c>
      <c r="CS53" s="25">
        <f t="shared" si="357"/>
        <v>-0.14</v>
      </c>
      <c r="CT53" s="25">
        <f t="shared" si="357"/>
        <v>0</v>
      </c>
      <c r="CU53" s="25">
        <f t="shared" si="357"/>
        <v>-0.79</v>
      </c>
      <c r="CV53" s="25">
        <f t="shared" si="357"/>
        <v>-0.39</v>
      </c>
      <c r="CW53" s="25">
        <f t="shared" si="357"/>
        <v>0</v>
      </c>
      <c r="CX53" s="25">
        <f t="shared" si="357"/>
        <v>-0.51</v>
      </c>
      <c r="CY53" s="25">
        <f t="shared" si="357"/>
        <v>0</v>
      </c>
      <c r="CZ53" s="25">
        <f t="shared" si="357"/>
        <v>-0.79</v>
      </c>
      <c r="DA53" s="25">
        <f t="shared" si="357"/>
        <v>0</v>
      </c>
      <c r="DB53" s="25">
        <f t="shared" si="357"/>
        <v>0</v>
      </c>
      <c r="DC53" s="25">
        <f t="shared" si="357"/>
        <v>-0.14</v>
      </c>
      <c r="DD53" s="25">
        <f t="shared" si="357"/>
        <v>-0.28</v>
      </c>
      <c r="DE53" s="25">
        <f t="shared" si="357"/>
        <v>-0.46</v>
      </c>
      <c r="DF53" s="25">
        <f t="shared" si="357"/>
        <v>0</v>
      </c>
      <c r="DG53" s="25">
        <f t="shared" si="357"/>
        <v>0</v>
      </c>
      <c r="DH53" s="25">
        <f t="shared" si="357"/>
        <v>-0.79</v>
      </c>
      <c r="DI53" s="25">
        <f t="shared" si="357"/>
        <v>0</v>
      </c>
      <c r="DJ53" s="25">
        <f t="shared" si="357"/>
        <v>-0.54</v>
      </c>
      <c r="DK53" s="7">
        <f t="shared" ref="DK53:DK58" si="358">1/31.536</f>
        <v>0.0317097919837646</v>
      </c>
      <c r="DL53">
        <v>0</v>
      </c>
      <c r="DM53">
        <v>5</v>
      </c>
      <c r="DS53" s="25">
        <f t="shared" si="346"/>
        <v>0</v>
      </c>
      <c r="DT53" s="25">
        <f t="shared" si="346"/>
        <v>0</v>
      </c>
      <c r="DU53" s="25">
        <f t="shared" si="346"/>
        <v>0</v>
      </c>
      <c r="DV53" s="25">
        <f t="shared" si="346"/>
        <v>0.0590607842871839</v>
      </c>
      <c r="DW53" s="25">
        <f t="shared" si="346"/>
        <v>0</v>
      </c>
      <c r="DX53" s="25">
        <f t="shared" si="346"/>
        <v>0.287808601273561</v>
      </c>
      <c r="DY53" s="25">
        <f t="shared" si="346"/>
        <v>0</v>
      </c>
      <c r="DZ53" s="25">
        <f t="shared" si="346"/>
        <v>0</v>
      </c>
      <c r="EA53" s="25">
        <f t="shared" si="346"/>
        <v>0.22496292707278</v>
      </c>
      <c r="EB53" s="25">
        <f t="shared" si="346"/>
        <v>0.160958904109589</v>
      </c>
      <c r="EC53" s="25">
        <f t="shared" si="347"/>
        <v>0</v>
      </c>
      <c r="ED53" s="25">
        <f t="shared" si="347"/>
        <v>0</v>
      </c>
      <c r="EE53" s="25">
        <f t="shared" si="347"/>
        <v>0.127807723503965</v>
      </c>
      <c r="EF53" s="25">
        <f t="shared" si="347"/>
        <v>0.0559478948428687</v>
      </c>
      <c r="EG53" s="25">
        <f t="shared" si="347"/>
        <v>0</v>
      </c>
      <c r="EH53" s="25">
        <f t="shared" si="347"/>
        <v>0.175780165998133</v>
      </c>
      <c r="EI53" s="25">
        <f t="shared" si="347"/>
        <v>0.3995</v>
      </c>
      <c r="EJ53" s="25">
        <f t="shared" si="347"/>
        <v>0.305210168010389</v>
      </c>
      <c r="EK53" s="25">
        <f t="shared" si="347"/>
        <v>0.304605404246001</v>
      </c>
      <c r="EL53" s="25">
        <f t="shared" si="347"/>
        <v>0.30095614863801</v>
      </c>
      <c r="EM53" s="25">
        <f t="shared" si="348"/>
        <v>0</v>
      </c>
      <c r="EN53" s="25">
        <f t="shared" si="348"/>
        <v>0.0892707532085908</v>
      </c>
      <c r="EO53" s="25">
        <f t="shared" si="348"/>
        <v>0.0698291059095086</v>
      </c>
      <c r="EP53" s="25">
        <f t="shared" si="348"/>
        <v>0</v>
      </c>
      <c r="EQ53" s="25">
        <f t="shared" si="348"/>
        <v>0</v>
      </c>
      <c r="ER53" s="25">
        <f t="shared" si="348"/>
        <v>0</v>
      </c>
      <c r="ES53" s="25">
        <f t="shared" si="348"/>
        <v>0</v>
      </c>
      <c r="ET53" s="25">
        <f t="shared" si="348"/>
        <v>0.0678444255148025</v>
      </c>
      <c r="EU53" s="25">
        <f t="shared" si="348"/>
        <v>0.0961584192057251</v>
      </c>
      <c r="EV53" s="25">
        <f t="shared" si="348"/>
        <v>0</v>
      </c>
      <c r="EW53" s="25">
        <f t="shared" si="349"/>
        <v>0.149065793074178</v>
      </c>
      <c r="EX53" s="25">
        <f t="shared" si="349"/>
        <v>0</v>
      </c>
      <c r="EY53" s="25">
        <f t="shared" si="349"/>
        <v>0</v>
      </c>
      <c r="EZ53" s="25">
        <f t="shared" si="349"/>
        <v>0</v>
      </c>
      <c r="FA53" s="25">
        <f t="shared" si="349"/>
        <v>0</v>
      </c>
      <c r="FB53" s="25">
        <f t="shared" si="349"/>
        <v>0.283031358135369</v>
      </c>
      <c r="FC53" s="25">
        <f t="shared" si="349"/>
        <v>0</v>
      </c>
      <c r="FD53" s="25">
        <f t="shared" si="349"/>
        <v>0</v>
      </c>
      <c r="FE53" s="25">
        <f t="shared" si="349"/>
        <v>0</v>
      </c>
      <c r="FF53" s="25">
        <f t="shared" si="349"/>
        <v>0.0260099609486159</v>
      </c>
      <c r="FG53" s="25">
        <f t="shared" si="350"/>
        <v>0.239708321684838</v>
      </c>
      <c r="FH53" s="25">
        <f t="shared" si="350"/>
        <v>0.130622424052957</v>
      </c>
      <c r="FI53" s="25">
        <f t="shared" si="350"/>
        <v>0</v>
      </c>
      <c r="FJ53" s="25">
        <f t="shared" si="350"/>
        <v>0.341541611150238</v>
      </c>
      <c r="FK53" s="25">
        <f t="shared" si="350"/>
        <v>0.391125986092127</v>
      </c>
      <c r="FL53" s="25">
        <f t="shared" si="350"/>
        <v>0</v>
      </c>
      <c r="FM53" s="25">
        <f t="shared" si="350"/>
        <v>0</v>
      </c>
      <c r="FN53" s="25">
        <f t="shared" si="350"/>
        <v>0</v>
      </c>
      <c r="FO53" s="25">
        <f t="shared" si="350"/>
        <v>0.00265815465554894</v>
      </c>
      <c r="FP53" s="25">
        <f t="shared" si="350"/>
        <v>0</v>
      </c>
      <c r="FQ53" s="25">
        <f t="shared" si="351"/>
        <v>0</v>
      </c>
      <c r="FR53" s="25">
        <f t="shared" si="351"/>
        <v>0</v>
      </c>
      <c r="FS53" s="25">
        <f t="shared" si="351"/>
        <v>0</v>
      </c>
      <c r="FT53" s="25">
        <f t="shared" si="351"/>
        <v>0</v>
      </c>
      <c r="FU53" s="25">
        <f t="shared" si="351"/>
        <v>0.3995</v>
      </c>
      <c r="FV53" s="25">
        <f t="shared" si="351"/>
        <v>0</v>
      </c>
      <c r="FW53" s="25">
        <f t="shared" si="351"/>
        <v>0.157327502033483</v>
      </c>
      <c r="FX53" s="25">
        <f t="shared" si="351"/>
        <v>0</v>
      </c>
      <c r="FY53" s="25">
        <f t="shared" si="351"/>
        <v>0</v>
      </c>
      <c r="FZ53" s="25">
        <f t="shared" si="351"/>
        <v>0.333776838892198</v>
      </c>
      <c r="GA53" s="25">
        <f t="shared" si="352"/>
        <v>0</v>
      </c>
      <c r="GB53" s="25">
        <f t="shared" si="352"/>
        <v>0.3995</v>
      </c>
      <c r="GC53" s="25">
        <f t="shared" si="352"/>
        <v>0</v>
      </c>
      <c r="GD53" s="25">
        <f t="shared" si="352"/>
        <v>0.205682885062139</v>
      </c>
      <c r="GE53" s="25">
        <f t="shared" si="352"/>
        <v>0</v>
      </c>
      <c r="GF53" s="25">
        <f t="shared" si="352"/>
        <v>0</v>
      </c>
      <c r="GG53" s="25">
        <f t="shared" si="352"/>
        <v>0</v>
      </c>
      <c r="GH53" s="25">
        <f t="shared" si="352"/>
        <v>0.125996935832732</v>
      </c>
      <c r="GI53" s="25">
        <f t="shared" si="352"/>
        <v>0</v>
      </c>
      <c r="GJ53" s="25">
        <f t="shared" si="352"/>
        <v>0.191264778071911</v>
      </c>
      <c r="GK53" s="25">
        <f t="shared" si="353"/>
        <v>0.312104997225528</v>
      </c>
      <c r="GL53" s="25">
        <f t="shared" si="353"/>
        <v>0</v>
      </c>
      <c r="GM53" s="25">
        <f t="shared" si="353"/>
        <v>0.335406049442238</v>
      </c>
      <c r="GN53" s="25">
        <f t="shared" si="353"/>
        <v>0</v>
      </c>
      <c r="GO53" s="25">
        <f t="shared" si="353"/>
        <v>0.3995</v>
      </c>
      <c r="GP53" s="25">
        <f t="shared" si="353"/>
        <v>0.0118465753424658</v>
      </c>
      <c r="GQ53" s="25">
        <f t="shared" si="353"/>
        <v>0</v>
      </c>
      <c r="GR53" s="25">
        <f t="shared" si="353"/>
        <v>0.187014457257493</v>
      </c>
      <c r="GS53" s="25">
        <f t="shared" si="353"/>
        <v>0</v>
      </c>
      <c r="GT53" s="25">
        <f t="shared" si="353"/>
        <v>0</v>
      </c>
      <c r="GU53" s="25">
        <f t="shared" si="354"/>
        <v>0</v>
      </c>
      <c r="GV53" s="25">
        <f t="shared" ref="GV53:HE58" si="359">CI5*$DQ$51</f>
        <v>0.226785422955708</v>
      </c>
      <c r="GW53" s="25">
        <f t="shared" si="359"/>
        <v>0</v>
      </c>
      <c r="GX53" s="25">
        <f t="shared" si="359"/>
        <v>0</v>
      </c>
      <c r="GY53" s="25">
        <f t="shared" si="359"/>
        <v>0.242074739979706</v>
      </c>
      <c r="GZ53" s="25">
        <f t="shared" si="359"/>
        <v>0.260283406921016</v>
      </c>
      <c r="HA53" s="25">
        <f t="shared" si="359"/>
        <v>5.53837089409339e-5</v>
      </c>
      <c r="HB53" s="25">
        <f t="shared" si="359"/>
        <v>0.275894400774346</v>
      </c>
      <c r="HC53" s="25">
        <f t="shared" si="359"/>
        <v>0.378861795622201</v>
      </c>
      <c r="HD53" s="25">
        <f t="shared" si="359"/>
        <v>0.3995</v>
      </c>
      <c r="HE53" s="25">
        <f t="shared" si="359"/>
        <v>0</v>
      </c>
      <c r="HF53" s="25">
        <f t="shared" ref="HF53:HO58" si="360">CS5*$DQ$51</f>
        <v>0.0702125260724956</v>
      </c>
      <c r="HG53" s="25">
        <f t="shared" si="360"/>
        <v>0</v>
      </c>
      <c r="HH53" s="25">
        <f t="shared" si="360"/>
        <v>0.3995</v>
      </c>
      <c r="HI53" s="25">
        <f t="shared" si="360"/>
        <v>0.197944443493151</v>
      </c>
      <c r="HJ53" s="25">
        <f t="shared" si="360"/>
        <v>0</v>
      </c>
      <c r="HK53" s="25">
        <f t="shared" si="360"/>
        <v>0.25552965149134</v>
      </c>
      <c r="HL53" s="25">
        <f t="shared" si="360"/>
        <v>0</v>
      </c>
      <c r="HM53" s="25">
        <f t="shared" si="360"/>
        <v>0.3995</v>
      </c>
      <c r="HN53" s="25">
        <f t="shared" si="360"/>
        <v>0</v>
      </c>
      <c r="HO53" s="25">
        <f t="shared" si="360"/>
        <v>0</v>
      </c>
      <c r="HP53" s="25">
        <f t="shared" ref="HP53:HW58" si="361">DC5*$DQ$51</f>
        <v>0.0721115217243611</v>
      </c>
      <c r="HQ53" s="25">
        <f t="shared" si="361"/>
        <v>0.1444787126401</v>
      </c>
      <c r="HR53" s="25">
        <f t="shared" si="361"/>
        <v>0.233209202804658</v>
      </c>
      <c r="HS53" s="25">
        <f t="shared" si="361"/>
        <v>0</v>
      </c>
      <c r="HT53" s="25">
        <f t="shared" si="361"/>
        <v>0</v>
      </c>
      <c r="HU53" s="25">
        <f t="shared" si="361"/>
        <v>0.3995</v>
      </c>
      <c r="HV53" s="25">
        <f t="shared" si="361"/>
        <v>0</v>
      </c>
      <c r="HW53" s="25">
        <f t="shared" si="361"/>
        <v>0.271207949356579</v>
      </c>
      <c r="HX53" s="25" t="str">
        <f t="shared" si="340"/>
        <v>ELE,CHP</v>
      </c>
      <c r="HY53" s="25" t="str">
        <f t="shared" si="340"/>
        <v>???COA</v>
      </c>
      <c r="HZ53" t="s">
        <v>247</v>
      </c>
      <c r="IA53">
        <f t="shared" si="341"/>
        <v>2019</v>
      </c>
    </row>
    <row r="54" spans="1:235">
      <c r="A54">
        <v>2019</v>
      </c>
      <c r="B54" t="str">
        <f t="shared" si="342"/>
        <v>UCE_utilization_NGA_LO</v>
      </c>
      <c r="C54" t="s">
        <v>404</v>
      </c>
      <c r="D54" t="str">
        <f t="shared" si="343"/>
        <v>???NGA</v>
      </c>
      <c r="F54" s="25">
        <f t="shared" ref="F54:BQ54" si="362">ROUNDDOWN(-F6*$DP$51,2)</f>
        <v>0</v>
      </c>
      <c r="G54" s="25">
        <f t="shared" si="362"/>
        <v>-0.34</v>
      </c>
      <c r="H54" s="25">
        <f t="shared" si="362"/>
        <v>-0.22</v>
      </c>
      <c r="I54" s="25">
        <f t="shared" si="362"/>
        <v>-0.4</v>
      </c>
      <c r="J54" s="25">
        <f t="shared" si="362"/>
        <v>-0.45</v>
      </c>
      <c r="K54" s="25">
        <f t="shared" si="362"/>
        <v>-0.25</v>
      </c>
      <c r="L54" s="25">
        <f t="shared" si="362"/>
        <v>-0.29</v>
      </c>
      <c r="M54" s="25">
        <f t="shared" si="362"/>
        <v>-0.66</v>
      </c>
      <c r="N54" s="25">
        <f t="shared" si="362"/>
        <v>-0.5</v>
      </c>
      <c r="O54" s="25">
        <f t="shared" si="362"/>
        <v>-0.43</v>
      </c>
      <c r="P54" s="25">
        <f t="shared" si="362"/>
        <v>-0.4</v>
      </c>
      <c r="Q54" s="25">
        <f t="shared" si="362"/>
        <v>0</v>
      </c>
      <c r="R54" s="25">
        <f t="shared" si="362"/>
        <v>-0.74</v>
      </c>
      <c r="S54" s="25">
        <f t="shared" si="362"/>
        <v>-0.21</v>
      </c>
      <c r="T54" s="25">
        <f t="shared" si="362"/>
        <v>0</v>
      </c>
      <c r="U54" s="25">
        <f t="shared" si="362"/>
        <v>-0.31</v>
      </c>
      <c r="V54" s="25">
        <f t="shared" si="362"/>
        <v>-0.36</v>
      </c>
      <c r="W54" s="25">
        <f t="shared" si="362"/>
        <v>-0.3</v>
      </c>
      <c r="X54" s="25">
        <f t="shared" si="362"/>
        <v>-0.19</v>
      </c>
      <c r="Y54" s="25">
        <f t="shared" si="362"/>
        <v>-0.41</v>
      </c>
      <c r="Z54" s="25">
        <f t="shared" si="362"/>
        <v>0</v>
      </c>
      <c r="AA54" s="25">
        <f t="shared" si="362"/>
        <v>-0.36</v>
      </c>
      <c r="AB54" s="25">
        <f t="shared" si="362"/>
        <v>-0.1</v>
      </c>
      <c r="AC54" s="25">
        <f t="shared" si="362"/>
        <v>0</v>
      </c>
      <c r="AD54" s="25">
        <f t="shared" si="362"/>
        <v>-0.34</v>
      </c>
      <c r="AE54" s="25">
        <f t="shared" si="362"/>
        <v>-0.25</v>
      </c>
      <c r="AF54" s="25">
        <f t="shared" si="362"/>
        <v>0</v>
      </c>
      <c r="AG54" s="25">
        <f t="shared" si="362"/>
        <v>-0.2</v>
      </c>
      <c r="AH54" s="25">
        <f t="shared" si="362"/>
        <v>-0.45</v>
      </c>
      <c r="AI54" s="25">
        <f t="shared" si="362"/>
        <v>-0.47</v>
      </c>
      <c r="AJ54" s="25">
        <f t="shared" si="362"/>
        <v>-0.55</v>
      </c>
      <c r="AK54" s="25">
        <f t="shared" si="362"/>
        <v>-0.35</v>
      </c>
      <c r="AL54" s="25">
        <f t="shared" si="362"/>
        <v>-0.25</v>
      </c>
      <c r="AM54" s="25">
        <f t="shared" si="362"/>
        <v>-0.29</v>
      </c>
      <c r="AN54" s="25">
        <f t="shared" si="362"/>
        <v>0</v>
      </c>
      <c r="AO54" s="25">
        <f t="shared" si="362"/>
        <v>-0.22</v>
      </c>
      <c r="AP54" s="25">
        <f t="shared" si="362"/>
        <v>-0.29</v>
      </c>
      <c r="AQ54" s="25">
        <f t="shared" si="362"/>
        <v>-0.49</v>
      </c>
      <c r="AR54" s="25">
        <f t="shared" si="362"/>
        <v>-0.27</v>
      </c>
      <c r="AS54" s="25">
        <f t="shared" si="362"/>
        <v>-0.35</v>
      </c>
      <c r="AT54" s="25">
        <f t="shared" si="362"/>
        <v>-0.46</v>
      </c>
      <c r="AU54" s="25">
        <f>ROUNDDOWN(-AU6*$DP$51,3)</f>
        <v>-0.313</v>
      </c>
      <c r="AV54" s="25">
        <f t="shared" si="362"/>
        <v>-0.68</v>
      </c>
      <c r="AW54" s="25">
        <f t="shared" si="362"/>
        <v>-0.53</v>
      </c>
      <c r="AX54" s="25">
        <f t="shared" si="362"/>
        <v>-0.66</v>
      </c>
      <c r="AY54" s="25">
        <f t="shared" si="362"/>
        <v>0</v>
      </c>
      <c r="AZ54" s="25">
        <f t="shared" si="362"/>
        <v>0</v>
      </c>
      <c r="BA54" s="25">
        <f t="shared" si="362"/>
        <v>-0.47</v>
      </c>
      <c r="BB54" s="25">
        <f t="shared" si="362"/>
        <v>-0.19</v>
      </c>
      <c r="BC54" s="25">
        <f t="shared" si="362"/>
        <v>-0.33</v>
      </c>
      <c r="BD54" s="25">
        <f t="shared" si="362"/>
        <v>-0.35</v>
      </c>
      <c r="BE54" s="25">
        <f t="shared" si="362"/>
        <v>-0.02</v>
      </c>
      <c r="BF54" s="25">
        <f t="shared" si="362"/>
        <v>-0.41</v>
      </c>
      <c r="BG54" s="25">
        <f t="shared" si="362"/>
        <v>-0.34</v>
      </c>
      <c r="BH54" s="25">
        <f t="shared" si="362"/>
        <v>-0.47</v>
      </c>
      <c r="BI54" s="30">
        <f>ROUNDDOWN(-BI6*$DP$51,2)*0.9</f>
        <v>-0.423</v>
      </c>
      <c r="BJ54" s="25">
        <f t="shared" si="362"/>
        <v>-0.46</v>
      </c>
      <c r="BK54" s="25">
        <f t="shared" si="362"/>
        <v>-0.63</v>
      </c>
      <c r="BL54" s="25">
        <f t="shared" si="362"/>
        <v>0</v>
      </c>
      <c r="BM54" s="25">
        <f t="shared" si="362"/>
        <v>-0.37</v>
      </c>
      <c r="BN54" s="25">
        <f t="shared" si="362"/>
        <v>-0.51</v>
      </c>
      <c r="BO54" s="25">
        <f t="shared" si="362"/>
        <v>-0.23</v>
      </c>
      <c r="BP54" s="25">
        <f t="shared" si="362"/>
        <v>0</v>
      </c>
      <c r="BQ54" s="25">
        <f t="shared" si="362"/>
        <v>-0.42</v>
      </c>
      <c r="BR54" s="25">
        <f t="shared" ref="BR54:DJ54" si="363">ROUNDDOWN(-BR6*$DP$51,2)</f>
        <v>-0.47</v>
      </c>
      <c r="BS54" s="25">
        <f t="shared" si="363"/>
        <v>0</v>
      </c>
      <c r="BT54" s="25">
        <f t="shared" si="363"/>
        <v>-0.21</v>
      </c>
      <c r="BU54" s="25">
        <f t="shared" si="363"/>
        <v>-0.04</v>
      </c>
      <c r="BV54" s="25">
        <f t="shared" si="363"/>
        <v>-0.24</v>
      </c>
      <c r="BW54" s="25">
        <f t="shared" si="363"/>
        <v>-0.31</v>
      </c>
      <c r="BX54" s="25">
        <f t="shared" si="363"/>
        <v>-0.36</v>
      </c>
      <c r="BY54" s="25">
        <f t="shared" si="363"/>
        <v>0</v>
      </c>
      <c r="BZ54" s="25">
        <f t="shared" si="363"/>
        <v>-0.4</v>
      </c>
      <c r="CA54" s="25">
        <f t="shared" si="363"/>
        <v>-0.31</v>
      </c>
      <c r="CB54" s="25">
        <f t="shared" si="363"/>
        <v>-0.32</v>
      </c>
      <c r="CC54" s="25">
        <f t="shared" si="363"/>
        <v>-0.49</v>
      </c>
      <c r="CD54" s="25">
        <f t="shared" si="363"/>
        <v>-0.67</v>
      </c>
      <c r="CE54" s="25">
        <f t="shared" si="363"/>
        <v>-0.7</v>
      </c>
      <c r="CF54" s="25">
        <f t="shared" si="363"/>
        <v>-0.31</v>
      </c>
      <c r="CG54" s="25">
        <f t="shared" si="363"/>
        <v>-0.01</v>
      </c>
      <c r="CH54" s="25">
        <f t="shared" si="363"/>
        <v>-0.2</v>
      </c>
      <c r="CI54" s="25">
        <f t="shared" si="363"/>
        <v>-0.43</v>
      </c>
      <c r="CJ54" s="25">
        <f t="shared" si="363"/>
        <v>-0.27</v>
      </c>
      <c r="CK54" s="25">
        <f t="shared" si="363"/>
        <v>-0.11</v>
      </c>
      <c r="CL54" s="25">
        <f t="shared" si="363"/>
        <v>-0.46</v>
      </c>
      <c r="CM54" s="25">
        <f t="shared" si="363"/>
        <v>-0.28</v>
      </c>
      <c r="CN54" s="25">
        <f t="shared" si="363"/>
        <v>-0.13</v>
      </c>
      <c r="CO54" s="25">
        <f t="shared" si="363"/>
        <v>0</v>
      </c>
      <c r="CP54" s="25">
        <f t="shared" si="363"/>
        <v>-0.37</v>
      </c>
      <c r="CQ54" s="25">
        <f t="shared" si="363"/>
        <v>-0.21</v>
      </c>
      <c r="CR54" s="25">
        <f t="shared" si="363"/>
        <v>0</v>
      </c>
      <c r="CS54" s="25">
        <f t="shared" si="363"/>
        <v>-0.05</v>
      </c>
      <c r="CT54" s="25">
        <f t="shared" si="363"/>
        <v>-0.16</v>
      </c>
      <c r="CU54" s="25">
        <f t="shared" si="363"/>
        <v>-0.58</v>
      </c>
      <c r="CV54" s="25">
        <f t="shared" si="363"/>
        <v>-0.09</v>
      </c>
      <c r="CW54" s="25">
        <f t="shared" si="363"/>
        <v>-0.51</v>
      </c>
      <c r="CX54" s="25">
        <f t="shared" si="363"/>
        <v>-0.24</v>
      </c>
      <c r="CY54" s="25">
        <f t="shared" si="363"/>
        <v>-0.57</v>
      </c>
      <c r="CZ54" s="25">
        <f t="shared" si="363"/>
        <v>-0.22</v>
      </c>
      <c r="DA54" s="25">
        <f t="shared" si="363"/>
        <v>-0.31</v>
      </c>
      <c r="DB54" s="25">
        <f t="shared" si="363"/>
        <v>-0.36</v>
      </c>
      <c r="DC54" s="25">
        <f t="shared" si="363"/>
        <v>-0.37</v>
      </c>
      <c r="DD54" s="25">
        <f t="shared" si="363"/>
        <v>-0.53</v>
      </c>
      <c r="DE54" s="25">
        <f t="shared" si="363"/>
        <v>-0.35</v>
      </c>
      <c r="DF54" s="25">
        <f t="shared" si="363"/>
        <v>-0.52</v>
      </c>
      <c r="DG54" s="25">
        <f t="shared" si="363"/>
        <v>-0.21</v>
      </c>
      <c r="DH54" s="25">
        <f t="shared" si="363"/>
        <v>-0.55</v>
      </c>
      <c r="DI54" s="25">
        <f t="shared" si="363"/>
        <v>-0.07</v>
      </c>
      <c r="DJ54" s="25">
        <f t="shared" si="363"/>
        <v>0</v>
      </c>
      <c r="DK54" s="7">
        <f t="shared" si="358"/>
        <v>0.0317097919837646</v>
      </c>
      <c r="DL54">
        <v>0</v>
      </c>
      <c r="DM54">
        <v>5</v>
      </c>
      <c r="DS54" s="25">
        <f t="shared" si="346"/>
        <v>0</v>
      </c>
      <c r="DT54" s="25">
        <f t="shared" si="346"/>
        <v>0.174435048071736</v>
      </c>
      <c r="DU54" s="25">
        <f t="shared" si="346"/>
        <v>0.111128625472888</v>
      </c>
      <c r="DV54" s="25">
        <f t="shared" si="346"/>
        <v>0.202737359336808</v>
      </c>
      <c r="DW54" s="25">
        <f t="shared" si="346"/>
        <v>0.225484923634073</v>
      </c>
      <c r="DX54" s="25">
        <f t="shared" si="346"/>
        <v>0.126449701185449</v>
      </c>
      <c r="DY54" s="25">
        <f t="shared" si="346"/>
        <v>0.149209078543514</v>
      </c>
      <c r="DZ54" s="25">
        <f t="shared" si="346"/>
        <v>0.331015485407981</v>
      </c>
      <c r="EA54" s="25">
        <f t="shared" si="346"/>
        <v>0.250320354479358</v>
      </c>
      <c r="EB54" s="25">
        <f t="shared" si="346"/>
        <v>0.217897754251539</v>
      </c>
      <c r="EC54" s="25">
        <f t="shared" si="347"/>
        <v>0.202458886606734</v>
      </c>
      <c r="ED54" s="25">
        <f t="shared" si="347"/>
        <v>0</v>
      </c>
      <c r="EE54" s="25">
        <f t="shared" si="347"/>
        <v>0.37298959530908</v>
      </c>
      <c r="EF54" s="25">
        <f t="shared" si="347"/>
        <v>0.106249649395207</v>
      </c>
      <c r="EG54" s="25">
        <f t="shared" si="347"/>
        <v>0</v>
      </c>
      <c r="EH54" s="25">
        <f t="shared" si="347"/>
        <v>0.155465013338881</v>
      </c>
      <c r="EI54" s="25">
        <f t="shared" si="347"/>
        <v>0.181671098304493</v>
      </c>
      <c r="EJ54" s="25">
        <f t="shared" si="347"/>
        <v>0.15068694009783</v>
      </c>
      <c r="EK54" s="25">
        <f t="shared" si="347"/>
        <v>0.097001297218763</v>
      </c>
      <c r="EL54" s="25">
        <f t="shared" si="347"/>
        <v>0.20576597203358</v>
      </c>
      <c r="EM54" s="25">
        <f t="shared" si="348"/>
        <v>0.0046687956971174</v>
      </c>
      <c r="EN54" s="25">
        <f t="shared" si="348"/>
        <v>0.184273463642274</v>
      </c>
      <c r="EO54" s="25">
        <f t="shared" si="348"/>
        <v>0.05315339822373</v>
      </c>
      <c r="EP54" s="25">
        <f t="shared" si="348"/>
        <v>0</v>
      </c>
      <c r="EQ54" s="25">
        <f t="shared" si="348"/>
        <v>0.170825011486044</v>
      </c>
      <c r="ER54" s="25">
        <f t="shared" si="348"/>
        <v>0.125789562008322</v>
      </c>
      <c r="ES54" s="25">
        <f t="shared" si="348"/>
        <v>0</v>
      </c>
      <c r="ET54" s="25">
        <f t="shared" si="348"/>
        <v>0.10141864904284</v>
      </c>
      <c r="EU54" s="25">
        <f t="shared" si="348"/>
        <v>0.226775838048791</v>
      </c>
      <c r="EV54" s="25">
        <f t="shared" si="348"/>
        <v>0.238119081763699</v>
      </c>
      <c r="EW54" s="25">
        <f t="shared" si="349"/>
        <v>0.276567426568519</v>
      </c>
      <c r="EX54" s="25">
        <f t="shared" si="349"/>
        <v>0.177035908872781</v>
      </c>
      <c r="EY54" s="25">
        <f t="shared" si="349"/>
        <v>0.126729868260461</v>
      </c>
      <c r="EZ54" s="25">
        <f t="shared" si="349"/>
        <v>0.149704266435587</v>
      </c>
      <c r="FA54" s="25">
        <f t="shared" si="349"/>
        <v>0</v>
      </c>
      <c r="FB54" s="25">
        <f t="shared" si="349"/>
        <v>0.112934890095727</v>
      </c>
      <c r="FC54" s="25">
        <f t="shared" si="349"/>
        <v>0.149007619826566</v>
      </c>
      <c r="FD54" s="25">
        <f t="shared" si="349"/>
        <v>0.248975588222549</v>
      </c>
      <c r="FE54" s="25">
        <f t="shared" si="349"/>
        <v>0.135686743547702</v>
      </c>
      <c r="FF54" s="25">
        <f t="shared" si="349"/>
        <v>0.175183737679618</v>
      </c>
      <c r="FG54" s="25">
        <f t="shared" si="350"/>
        <v>0.234308598910609</v>
      </c>
      <c r="FH54" s="25">
        <f t="shared" si="350"/>
        <v>0.156734009077547</v>
      </c>
      <c r="FI54" s="25">
        <f t="shared" si="350"/>
        <v>0.34114441404385</v>
      </c>
      <c r="FJ54" s="25">
        <f t="shared" si="350"/>
        <v>0.268076154300738</v>
      </c>
      <c r="FK54" s="25">
        <f t="shared" si="350"/>
        <v>0.334247703899472</v>
      </c>
      <c r="FL54" s="25">
        <f t="shared" si="350"/>
        <v>0</v>
      </c>
      <c r="FM54" s="25">
        <f t="shared" si="350"/>
        <v>0</v>
      </c>
      <c r="FN54" s="25">
        <f t="shared" si="350"/>
        <v>0.236474904176879</v>
      </c>
      <c r="FO54" s="25">
        <f t="shared" si="350"/>
        <v>0.0955430593607306</v>
      </c>
      <c r="FP54" s="25">
        <f t="shared" si="350"/>
        <v>0.168930680822337</v>
      </c>
      <c r="FQ54" s="25">
        <f t="shared" si="351"/>
        <v>0.177526636712693</v>
      </c>
      <c r="FR54" s="25">
        <f t="shared" si="351"/>
        <v>0.0118129974617439</v>
      </c>
      <c r="FS54" s="25">
        <f t="shared" si="351"/>
        <v>0.208654542591718</v>
      </c>
      <c r="FT54" s="25">
        <f t="shared" si="351"/>
        <v>0.172435699789809</v>
      </c>
      <c r="FU54" s="25">
        <f t="shared" si="351"/>
        <v>0.236503652785898</v>
      </c>
      <c r="FV54" s="25">
        <f t="shared" si="351"/>
        <v>0.235742371355813</v>
      </c>
      <c r="FW54" s="25">
        <f t="shared" si="351"/>
        <v>0.234539814284154</v>
      </c>
      <c r="FX54" s="25">
        <f t="shared" si="351"/>
        <v>0.315196316658061</v>
      </c>
      <c r="FY54" s="25">
        <f t="shared" si="351"/>
        <v>0</v>
      </c>
      <c r="FZ54" s="25">
        <f t="shared" si="351"/>
        <v>0.186559034572733</v>
      </c>
      <c r="GA54" s="25">
        <f t="shared" si="352"/>
        <v>0.259780290401295</v>
      </c>
      <c r="GB54" s="25">
        <f t="shared" si="352"/>
        <v>0.119783914670207</v>
      </c>
      <c r="GC54" s="25">
        <f t="shared" si="352"/>
        <v>0</v>
      </c>
      <c r="GD54" s="25">
        <f t="shared" si="352"/>
        <v>0.213528935676276</v>
      </c>
      <c r="GE54" s="25">
        <f t="shared" si="352"/>
        <v>0.235907816227084</v>
      </c>
      <c r="GF54" s="25">
        <f t="shared" si="352"/>
        <v>0</v>
      </c>
      <c r="GG54" s="25">
        <f t="shared" si="352"/>
        <v>0.105487702689405</v>
      </c>
      <c r="GH54" s="25">
        <f t="shared" si="352"/>
        <v>0.0223142694063927</v>
      </c>
      <c r="GI54" s="25">
        <f t="shared" si="352"/>
        <v>0.123446670951232</v>
      </c>
      <c r="GJ54" s="25">
        <f t="shared" si="352"/>
        <v>0.158552600464042</v>
      </c>
      <c r="GK54" s="25">
        <f t="shared" si="353"/>
        <v>0.183695080197787</v>
      </c>
      <c r="GL54" s="25">
        <f t="shared" si="353"/>
        <v>0</v>
      </c>
      <c r="GM54" s="25">
        <f t="shared" si="353"/>
        <v>0.20359616130355</v>
      </c>
      <c r="GN54" s="25">
        <f t="shared" si="353"/>
        <v>0.156326539918264</v>
      </c>
      <c r="GO54" s="25">
        <f t="shared" si="353"/>
        <v>0.160446396064793</v>
      </c>
      <c r="GP54" s="25">
        <f t="shared" si="353"/>
        <v>0.248627950488018</v>
      </c>
      <c r="GQ54" s="25">
        <f t="shared" si="353"/>
        <v>0.335021991148185</v>
      </c>
      <c r="GR54" s="25">
        <f t="shared" si="353"/>
        <v>0.351958534757151</v>
      </c>
      <c r="GS54" s="25">
        <f t="shared" si="353"/>
        <v>0.15639739559145</v>
      </c>
      <c r="GT54" s="25">
        <f t="shared" si="353"/>
        <v>0.0084387654563531</v>
      </c>
      <c r="GU54" s="25">
        <f t="shared" si="354"/>
        <v>0.104708864527324</v>
      </c>
      <c r="GV54" s="25">
        <f t="shared" si="359"/>
        <v>0.215330032164113</v>
      </c>
      <c r="GW54" s="25">
        <f t="shared" si="359"/>
        <v>0.137834919852111</v>
      </c>
      <c r="GX54" s="25">
        <f t="shared" si="359"/>
        <v>0.0582949342298186</v>
      </c>
      <c r="GY54" s="25">
        <f t="shared" si="359"/>
        <v>0.233664248188394</v>
      </c>
      <c r="GZ54" s="25">
        <f t="shared" si="359"/>
        <v>0.141976987620131</v>
      </c>
      <c r="HA54" s="25">
        <f t="shared" si="359"/>
        <v>0.0656037160926457</v>
      </c>
      <c r="HB54" s="25">
        <f t="shared" si="359"/>
        <v>0</v>
      </c>
      <c r="HC54" s="25">
        <f t="shared" si="359"/>
        <v>0.186872700459924</v>
      </c>
      <c r="HD54" s="25">
        <f t="shared" si="359"/>
        <v>0.109996106659011</v>
      </c>
      <c r="HE54" s="25">
        <f t="shared" si="359"/>
        <v>0</v>
      </c>
      <c r="HF54" s="25">
        <f t="shared" si="360"/>
        <v>0.0261337253036347</v>
      </c>
      <c r="HG54" s="25">
        <f t="shared" si="360"/>
        <v>0.0821097755098328</v>
      </c>
      <c r="HH54" s="25">
        <f t="shared" si="360"/>
        <v>0.290380204905849</v>
      </c>
      <c r="HI54" s="25">
        <f t="shared" si="360"/>
        <v>0.0477664709719504</v>
      </c>
      <c r="HJ54" s="25">
        <f t="shared" si="360"/>
        <v>0.2586174195964</v>
      </c>
      <c r="HK54" s="25">
        <f t="shared" si="360"/>
        <v>0.123255833086849</v>
      </c>
      <c r="HL54" s="25">
        <f t="shared" si="360"/>
        <v>0.287128671983721</v>
      </c>
      <c r="HM54" s="25">
        <f t="shared" si="360"/>
        <v>0.112721670051712</v>
      </c>
      <c r="HN54" s="25">
        <f t="shared" si="360"/>
        <v>0.157689376503258</v>
      </c>
      <c r="HO54" s="25">
        <f t="shared" si="360"/>
        <v>0.183717504056053</v>
      </c>
      <c r="HP54" s="25">
        <f t="shared" si="361"/>
        <v>0.18635901232625</v>
      </c>
      <c r="HQ54" s="25">
        <f t="shared" si="361"/>
        <v>0.269890687698907</v>
      </c>
      <c r="HR54" s="25">
        <f t="shared" si="361"/>
        <v>0.179858425066236</v>
      </c>
      <c r="HS54" s="25">
        <f t="shared" si="361"/>
        <v>0.264475212915253</v>
      </c>
      <c r="HT54" s="25">
        <f t="shared" si="361"/>
        <v>0.108869227305852</v>
      </c>
      <c r="HU54" s="25">
        <f t="shared" si="361"/>
        <v>0.275941769362536</v>
      </c>
      <c r="HV54" s="25">
        <f t="shared" si="361"/>
        <v>0.036151209362682</v>
      </c>
      <c r="HW54" s="25">
        <f t="shared" si="361"/>
        <v>0</v>
      </c>
      <c r="HX54" s="25" t="str">
        <f t="shared" si="340"/>
        <v>ELE,CHP</v>
      </c>
      <c r="HY54" s="25" t="str">
        <f t="shared" si="340"/>
        <v>???NGA</v>
      </c>
      <c r="HZ54" t="s">
        <v>247</v>
      </c>
      <c r="IA54">
        <f t="shared" si="341"/>
        <v>2019</v>
      </c>
    </row>
    <row r="55" spans="1:235">
      <c r="A55">
        <v>2019</v>
      </c>
      <c r="B55" t="str">
        <f t="shared" si="342"/>
        <v>UCE_utilization_OIL_LO</v>
      </c>
      <c r="C55" t="s">
        <v>404</v>
      </c>
      <c r="D55" t="str">
        <f t="shared" si="343"/>
        <v>???OIL</v>
      </c>
      <c r="F55" s="25">
        <f t="shared" ref="F55:BQ55" si="364">ROUNDDOWN(-F7*$DP$51,2)</f>
        <v>0</v>
      </c>
      <c r="G55" s="25">
        <f t="shared" si="364"/>
        <v>0</v>
      </c>
      <c r="H55" s="25">
        <f t="shared" si="364"/>
        <v>-0.27</v>
      </c>
      <c r="I55" s="25">
        <f t="shared" si="364"/>
        <v>-0.05</v>
      </c>
      <c r="J55" s="25">
        <f t="shared" si="364"/>
        <v>0</v>
      </c>
      <c r="K55" s="25">
        <f t="shared" si="364"/>
        <v>-0.05</v>
      </c>
      <c r="L55" s="25">
        <f t="shared" si="364"/>
        <v>0</v>
      </c>
      <c r="M55" s="25">
        <f t="shared" si="364"/>
        <v>0</v>
      </c>
      <c r="N55" s="25">
        <f t="shared" si="364"/>
        <v>-0.23</v>
      </c>
      <c r="O55" s="25">
        <f t="shared" si="364"/>
        <v>-0.01</v>
      </c>
      <c r="P55" s="25">
        <f t="shared" si="364"/>
        <v>-0.02</v>
      </c>
      <c r="Q55" s="25">
        <f t="shared" si="364"/>
        <v>-0.19</v>
      </c>
      <c r="R55" s="25">
        <f t="shared" si="364"/>
        <v>-0.04</v>
      </c>
      <c r="S55" s="25">
        <f t="shared" si="364"/>
        <v>-0.35</v>
      </c>
      <c r="T55" s="25">
        <f t="shared" si="364"/>
        <v>-0.13</v>
      </c>
      <c r="U55" s="25">
        <f t="shared" si="364"/>
        <v>-0.09</v>
      </c>
      <c r="V55" s="25">
        <f t="shared" si="364"/>
        <v>-0.21</v>
      </c>
      <c r="W55" s="25">
        <f t="shared" si="364"/>
        <v>-0.02</v>
      </c>
      <c r="X55" s="25">
        <f t="shared" si="364"/>
        <v>-0.01</v>
      </c>
      <c r="Y55" s="25">
        <f t="shared" si="364"/>
        <v>0</v>
      </c>
      <c r="Z55" s="25">
        <f t="shared" si="364"/>
        <v>-0.27</v>
      </c>
      <c r="AA55" s="25">
        <f t="shared" si="364"/>
        <v>-0.06</v>
      </c>
      <c r="AB55" s="25">
        <f t="shared" si="364"/>
        <v>-0.01</v>
      </c>
      <c r="AC55" s="25">
        <f t="shared" si="364"/>
        <v>0</v>
      </c>
      <c r="AD55" s="25">
        <f t="shared" si="364"/>
        <v>-0.38</v>
      </c>
      <c r="AE55" s="25">
        <f t="shared" si="364"/>
        <v>0</v>
      </c>
      <c r="AF55" s="25">
        <f t="shared" si="364"/>
        <v>0</v>
      </c>
      <c r="AG55" s="25">
        <f t="shared" si="364"/>
        <v>-0.04</v>
      </c>
      <c r="AH55" s="25">
        <f t="shared" si="364"/>
        <v>-0.79</v>
      </c>
      <c r="AI55" s="25">
        <f t="shared" si="364"/>
        <v>0</v>
      </c>
      <c r="AJ55" s="25">
        <f t="shared" si="364"/>
        <v>-0.14</v>
      </c>
      <c r="AK55" s="25">
        <f t="shared" si="364"/>
        <v>-0.79</v>
      </c>
      <c r="AL55" s="25">
        <f t="shared" si="364"/>
        <v>-0.39</v>
      </c>
      <c r="AM55" s="25">
        <f t="shared" si="364"/>
        <v>-0.01</v>
      </c>
      <c r="AN55" s="25">
        <f t="shared" si="364"/>
        <v>0</v>
      </c>
      <c r="AO55" s="25">
        <f t="shared" si="364"/>
        <v>-0.06</v>
      </c>
      <c r="AP55" s="25">
        <f t="shared" si="364"/>
        <v>-0.05</v>
      </c>
      <c r="AQ55" s="25">
        <f t="shared" si="364"/>
        <v>-0.43</v>
      </c>
      <c r="AR55" s="25">
        <f t="shared" si="364"/>
        <v>-0.13</v>
      </c>
      <c r="AS55" s="25">
        <f t="shared" si="364"/>
        <v>-0.04</v>
      </c>
      <c r="AT55" s="25">
        <f t="shared" si="364"/>
        <v>-0.12</v>
      </c>
      <c r="AU55" s="25">
        <f t="shared" si="364"/>
        <v>-0.34</v>
      </c>
      <c r="AV55" s="25">
        <f t="shared" si="364"/>
        <v>0</v>
      </c>
      <c r="AW55" s="25">
        <f t="shared" si="364"/>
        <v>-0.12</v>
      </c>
      <c r="AX55" s="25">
        <f t="shared" si="364"/>
        <v>0</v>
      </c>
      <c r="AY55" s="25">
        <f t="shared" si="364"/>
        <v>-0.08</v>
      </c>
      <c r="AZ55" s="25">
        <f t="shared" si="364"/>
        <v>-0.21</v>
      </c>
      <c r="BA55" s="25">
        <f t="shared" si="364"/>
        <v>-0.79</v>
      </c>
      <c r="BB55" s="25">
        <f t="shared" si="364"/>
        <v>-0.79</v>
      </c>
      <c r="BC55" s="25">
        <f t="shared" si="364"/>
        <v>0</v>
      </c>
      <c r="BD55" s="25">
        <f t="shared" si="364"/>
        <v>-0.79</v>
      </c>
      <c r="BE55" s="25">
        <f t="shared" si="364"/>
        <v>0</v>
      </c>
      <c r="BF55" s="25">
        <f t="shared" si="364"/>
        <v>0</v>
      </c>
      <c r="BG55" s="25">
        <f t="shared" si="364"/>
        <v>-0.03</v>
      </c>
      <c r="BH55" s="25">
        <f t="shared" si="364"/>
        <v>0</v>
      </c>
      <c r="BI55" s="25">
        <f t="shared" si="364"/>
        <v>0</v>
      </c>
      <c r="BJ55" s="25">
        <f t="shared" si="364"/>
        <v>-0.33</v>
      </c>
      <c r="BK55" s="25">
        <f t="shared" si="364"/>
        <v>0</v>
      </c>
      <c r="BL55" s="25">
        <f t="shared" si="364"/>
        <v>0</v>
      </c>
      <c r="BM55" s="25">
        <f t="shared" si="364"/>
        <v>-0.04</v>
      </c>
      <c r="BN55" s="25">
        <f t="shared" si="364"/>
        <v>-0.11</v>
      </c>
      <c r="BO55" s="25">
        <f t="shared" si="364"/>
        <v>0</v>
      </c>
      <c r="BP55" s="25">
        <f t="shared" si="364"/>
        <v>0</v>
      </c>
      <c r="BQ55" s="25">
        <f t="shared" si="364"/>
        <v>0</v>
      </c>
      <c r="BR55" s="25">
        <f t="shared" ref="BR55:DJ55" si="365">ROUNDDOWN(-BR7*$DP$51,2)</f>
        <v>0</v>
      </c>
      <c r="BS55" s="25">
        <f t="shared" si="365"/>
        <v>-0.24</v>
      </c>
      <c r="BT55" s="25">
        <f t="shared" si="365"/>
        <v>0</v>
      </c>
      <c r="BU55" s="25">
        <f t="shared" si="365"/>
        <v>0</v>
      </c>
      <c r="BV55" s="25">
        <f t="shared" si="365"/>
        <v>0</v>
      </c>
      <c r="BW55" s="25">
        <f t="shared" si="365"/>
        <v>-0.24</v>
      </c>
      <c r="BX55" s="25">
        <f t="shared" si="365"/>
        <v>-0.33</v>
      </c>
      <c r="BY55" s="25">
        <f t="shared" si="365"/>
        <v>0</v>
      </c>
      <c r="BZ55" s="25">
        <f t="shared" si="365"/>
        <v>-0.33</v>
      </c>
      <c r="CA55" s="25">
        <f t="shared" si="365"/>
        <v>-0.54</v>
      </c>
      <c r="CB55" s="25">
        <f t="shared" si="365"/>
        <v>-0.15</v>
      </c>
      <c r="CC55" s="25">
        <f t="shared" si="365"/>
        <v>-0.09</v>
      </c>
      <c r="CD55" s="25">
        <f t="shared" si="365"/>
        <v>-0.14</v>
      </c>
      <c r="CE55" s="25">
        <f t="shared" si="365"/>
        <v>0</v>
      </c>
      <c r="CF55" s="25">
        <f t="shared" si="365"/>
        <v>-0.23</v>
      </c>
      <c r="CG55" s="25">
        <f t="shared" si="365"/>
        <v>0</v>
      </c>
      <c r="CH55" s="25">
        <f t="shared" si="365"/>
        <v>0</v>
      </c>
      <c r="CI55" s="25">
        <f t="shared" si="365"/>
        <v>-0.1</v>
      </c>
      <c r="CJ55" s="25">
        <f t="shared" si="365"/>
        <v>-0.65</v>
      </c>
      <c r="CK55" s="25">
        <f t="shared" si="365"/>
        <v>0</v>
      </c>
      <c r="CL55" s="25">
        <f t="shared" si="365"/>
        <v>0</v>
      </c>
      <c r="CM55" s="25">
        <f t="shared" si="365"/>
        <v>0</v>
      </c>
      <c r="CN55" s="25">
        <f t="shared" si="365"/>
        <v>0</v>
      </c>
      <c r="CO55" s="25">
        <f t="shared" si="365"/>
        <v>-0.02</v>
      </c>
      <c r="CP55" s="25">
        <f t="shared" si="365"/>
        <v>-0.16</v>
      </c>
      <c r="CQ55" s="25">
        <f t="shared" si="365"/>
        <v>-0.49</v>
      </c>
      <c r="CR55" s="25">
        <f t="shared" si="365"/>
        <v>-0.36</v>
      </c>
      <c r="CS55" s="25">
        <f t="shared" si="365"/>
        <v>0</v>
      </c>
      <c r="CT55" s="25">
        <f t="shared" si="365"/>
        <v>0</v>
      </c>
      <c r="CU55" s="25">
        <f t="shared" si="365"/>
        <v>-0.32</v>
      </c>
      <c r="CV55" s="25">
        <f t="shared" si="365"/>
        <v>0</v>
      </c>
      <c r="CW55" s="25">
        <f t="shared" si="365"/>
        <v>0</v>
      </c>
      <c r="CX55" s="25">
        <f t="shared" si="365"/>
        <v>-0.79</v>
      </c>
      <c r="CY55" s="25">
        <f t="shared" si="365"/>
        <v>0</v>
      </c>
      <c r="CZ55" s="25">
        <f t="shared" si="365"/>
        <v>0</v>
      </c>
      <c r="DA55" s="25">
        <f t="shared" si="365"/>
        <v>0</v>
      </c>
      <c r="DB55" s="25">
        <f t="shared" si="365"/>
        <v>-0.02</v>
      </c>
      <c r="DC55" s="25">
        <f t="shared" si="365"/>
        <v>-0.15</v>
      </c>
      <c r="DD55" s="25">
        <f t="shared" si="365"/>
        <v>-0.01</v>
      </c>
      <c r="DE55" s="25">
        <f t="shared" si="365"/>
        <v>-0.04</v>
      </c>
      <c r="DF55" s="25">
        <f t="shared" si="365"/>
        <v>-0.19</v>
      </c>
      <c r="DG55" s="25">
        <f t="shared" si="365"/>
        <v>-0.07</v>
      </c>
      <c r="DH55" s="25">
        <f t="shared" si="365"/>
        <v>-0.06</v>
      </c>
      <c r="DI55" s="25">
        <f t="shared" si="365"/>
        <v>-0.3</v>
      </c>
      <c r="DJ55" s="25">
        <f t="shared" si="365"/>
        <v>-0.59</v>
      </c>
      <c r="DK55" s="7">
        <f t="shared" si="358"/>
        <v>0.0317097919837646</v>
      </c>
      <c r="DL55">
        <v>0</v>
      </c>
      <c r="DM55">
        <v>5</v>
      </c>
      <c r="DS55" s="25">
        <f t="shared" si="346"/>
        <v>0</v>
      </c>
      <c r="DT55" s="25">
        <f t="shared" si="346"/>
        <v>0</v>
      </c>
      <c r="DU55" s="25">
        <f t="shared" si="346"/>
        <v>0.136871290344746</v>
      </c>
      <c r="DV55" s="25">
        <f t="shared" si="346"/>
        <v>0.025673380025164</v>
      </c>
      <c r="DW55" s="25">
        <f t="shared" si="346"/>
        <v>0</v>
      </c>
      <c r="DX55" s="25">
        <f t="shared" si="346"/>
        <v>0.0250380517503805</v>
      </c>
      <c r="DY55" s="25">
        <f t="shared" si="346"/>
        <v>9.98109729061165e-5</v>
      </c>
      <c r="DZ55" s="25">
        <f t="shared" si="346"/>
        <v>0</v>
      </c>
      <c r="EA55" s="25">
        <f t="shared" si="346"/>
        <v>0.118779884638722</v>
      </c>
      <c r="EB55" s="25">
        <f t="shared" si="346"/>
        <v>0.0067351598173516</v>
      </c>
      <c r="EC55" s="25">
        <f t="shared" si="347"/>
        <v>0.0109495853135775</v>
      </c>
      <c r="ED55" s="25">
        <f t="shared" si="347"/>
        <v>0.0978377652430835</v>
      </c>
      <c r="EE55" s="25">
        <f t="shared" si="347"/>
        <v>0.0213924816439667</v>
      </c>
      <c r="EF55" s="25">
        <f t="shared" si="347"/>
        <v>0.176021974885845</v>
      </c>
      <c r="EG55" s="25">
        <f t="shared" si="347"/>
        <v>0.0687767589728482</v>
      </c>
      <c r="EH55" s="25">
        <f t="shared" si="347"/>
        <v>0.0499696979196054</v>
      </c>
      <c r="EI55" s="25">
        <f t="shared" si="347"/>
        <v>0.107611087328767</v>
      </c>
      <c r="EJ55" s="25">
        <f t="shared" si="347"/>
        <v>0.0115062512656698</v>
      </c>
      <c r="EK55" s="25">
        <f t="shared" si="347"/>
        <v>0.00752180681141372</v>
      </c>
      <c r="EL55" s="25">
        <f t="shared" si="347"/>
        <v>0</v>
      </c>
      <c r="EM55" s="25">
        <f t="shared" si="348"/>
        <v>0.139793619813543</v>
      </c>
      <c r="EN55" s="25">
        <f t="shared" si="348"/>
        <v>0.0300843421471806</v>
      </c>
      <c r="EO55" s="25">
        <f t="shared" si="348"/>
        <v>0.0083162100456621</v>
      </c>
      <c r="EP55" s="25">
        <f t="shared" si="348"/>
        <v>0</v>
      </c>
      <c r="EQ55" s="25">
        <f t="shared" si="348"/>
        <v>0.193759680600063</v>
      </c>
      <c r="ER55" s="25">
        <f t="shared" si="348"/>
        <v>0.000943052796624501</v>
      </c>
      <c r="ES55" s="25">
        <f t="shared" si="348"/>
        <v>0</v>
      </c>
      <c r="ET55" s="25">
        <f t="shared" si="348"/>
        <v>0.0200304414003044</v>
      </c>
      <c r="EU55" s="25">
        <f t="shared" si="348"/>
        <v>0.3995</v>
      </c>
      <c r="EV55" s="25">
        <f t="shared" si="348"/>
        <v>0</v>
      </c>
      <c r="EW55" s="25">
        <f t="shared" si="349"/>
        <v>0.0724044093907107</v>
      </c>
      <c r="EX55" s="25">
        <f t="shared" si="349"/>
        <v>0.3995</v>
      </c>
      <c r="EY55" s="25">
        <f t="shared" si="349"/>
        <v>0.198478833290426</v>
      </c>
      <c r="EZ55" s="25">
        <f t="shared" si="349"/>
        <v>0.00978048896499239</v>
      </c>
      <c r="FA55" s="25">
        <f t="shared" si="349"/>
        <v>0</v>
      </c>
      <c r="FB55" s="25">
        <f t="shared" si="349"/>
        <v>0.0326566517560657</v>
      </c>
      <c r="FC55" s="25">
        <f t="shared" si="349"/>
        <v>0.028061512285556</v>
      </c>
      <c r="FD55" s="25">
        <f t="shared" si="349"/>
        <v>0.215586431893429</v>
      </c>
      <c r="FE55" s="25">
        <f t="shared" si="349"/>
        <v>0.0673203601485712</v>
      </c>
      <c r="FF55" s="25">
        <f t="shared" si="349"/>
        <v>0.0234227015539553</v>
      </c>
      <c r="FG55" s="25">
        <f t="shared" si="350"/>
        <v>0.0638725809958687</v>
      </c>
      <c r="FH55" s="25">
        <f t="shared" si="350"/>
        <v>0.174273033775788</v>
      </c>
      <c r="FI55" s="25">
        <f t="shared" si="350"/>
        <v>0.00402933789954338</v>
      </c>
      <c r="FJ55" s="25">
        <f t="shared" si="350"/>
        <v>0.0603914841047461</v>
      </c>
      <c r="FK55" s="25">
        <f t="shared" si="350"/>
        <v>0.0046358757880506</v>
      </c>
      <c r="FL55" s="25">
        <f t="shared" si="350"/>
        <v>0.0449871429781288</v>
      </c>
      <c r="FM55" s="25">
        <f t="shared" si="350"/>
        <v>0.107185216894977</v>
      </c>
      <c r="FN55" s="25">
        <f t="shared" si="350"/>
        <v>0.3995</v>
      </c>
      <c r="FO55" s="25">
        <f t="shared" si="350"/>
        <v>0.3995</v>
      </c>
      <c r="FP55" s="25">
        <f t="shared" si="350"/>
        <v>0</v>
      </c>
      <c r="FQ55" s="25">
        <f t="shared" si="351"/>
        <v>0.3995</v>
      </c>
      <c r="FR55" s="25">
        <f t="shared" si="351"/>
        <v>6.62382321438638e-6</v>
      </c>
      <c r="FS55" s="25">
        <f t="shared" si="351"/>
        <v>0</v>
      </c>
      <c r="FT55" s="25">
        <f t="shared" si="351"/>
        <v>0.015600239182431</v>
      </c>
      <c r="FU55" s="25">
        <f t="shared" si="351"/>
        <v>0.00316829724265419</v>
      </c>
      <c r="FV55" s="25">
        <f t="shared" si="351"/>
        <v>0</v>
      </c>
      <c r="FW55" s="25">
        <f t="shared" si="351"/>
        <v>0.166077085209056</v>
      </c>
      <c r="FX55" s="25">
        <f t="shared" si="351"/>
        <v>0</v>
      </c>
      <c r="FY55" s="25">
        <f t="shared" si="351"/>
        <v>0</v>
      </c>
      <c r="FZ55" s="25">
        <f t="shared" si="351"/>
        <v>0.0219759249702884</v>
      </c>
      <c r="GA55" s="25">
        <f t="shared" si="352"/>
        <v>0.058930546495615</v>
      </c>
      <c r="GB55" s="25">
        <f t="shared" si="352"/>
        <v>0</v>
      </c>
      <c r="GC55" s="25">
        <f t="shared" si="352"/>
        <v>0.000804794520547945</v>
      </c>
      <c r="GD55" s="25">
        <f t="shared" si="352"/>
        <v>0</v>
      </c>
      <c r="GE55" s="25">
        <f t="shared" si="352"/>
        <v>0</v>
      </c>
      <c r="GF55" s="25">
        <f t="shared" si="352"/>
        <v>0.120636721941841</v>
      </c>
      <c r="GG55" s="25">
        <f t="shared" si="352"/>
        <v>0</v>
      </c>
      <c r="GH55" s="25">
        <f t="shared" si="352"/>
        <v>0</v>
      </c>
      <c r="GI55" s="25">
        <f t="shared" si="352"/>
        <v>0</v>
      </c>
      <c r="GJ55" s="25">
        <f t="shared" si="352"/>
        <v>0.122523799357554</v>
      </c>
      <c r="GK55" s="25">
        <f t="shared" si="353"/>
        <v>0.168001065834833</v>
      </c>
      <c r="GL55" s="25">
        <f t="shared" si="353"/>
        <v>0</v>
      </c>
      <c r="GM55" s="25">
        <f t="shared" si="353"/>
        <v>0.166736370489498</v>
      </c>
      <c r="GN55" s="25">
        <f t="shared" si="353"/>
        <v>0.274137933444516</v>
      </c>
      <c r="GO55" s="25">
        <f t="shared" si="353"/>
        <v>0.0785309470000138</v>
      </c>
      <c r="GP55" s="25">
        <f t="shared" si="353"/>
        <v>0.0463593116247034</v>
      </c>
      <c r="GQ55" s="25">
        <f t="shared" si="353"/>
        <v>0.0737713958480786</v>
      </c>
      <c r="GR55" s="25">
        <f t="shared" si="353"/>
        <v>0</v>
      </c>
      <c r="GS55" s="25">
        <f t="shared" si="353"/>
        <v>0.119605908475087</v>
      </c>
      <c r="GT55" s="25">
        <f t="shared" si="353"/>
        <v>0</v>
      </c>
      <c r="GU55" s="25">
        <f t="shared" si="354"/>
        <v>0.000542174584573663</v>
      </c>
      <c r="GV55" s="25">
        <f t="shared" si="359"/>
        <v>0.0501011687875206</v>
      </c>
      <c r="GW55" s="25">
        <f t="shared" si="359"/>
        <v>0.329210722134433</v>
      </c>
      <c r="GX55" s="25">
        <f t="shared" si="359"/>
        <v>0</v>
      </c>
      <c r="GY55" s="25">
        <f t="shared" si="359"/>
        <v>0.000557096246273273</v>
      </c>
      <c r="GZ55" s="25">
        <f t="shared" si="359"/>
        <v>0.00258568520657974</v>
      </c>
      <c r="HA55" s="25">
        <f t="shared" si="359"/>
        <v>0.00493559825433386</v>
      </c>
      <c r="HB55" s="25">
        <f t="shared" si="359"/>
        <v>0.0114545509893455</v>
      </c>
      <c r="HC55" s="25">
        <f t="shared" si="359"/>
        <v>0.0834004220762753</v>
      </c>
      <c r="HD55" s="25">
        <f t="shared" si="359"/>
        <v>0.249954700297166</v>
      </c>
      <c r="HE55" s="25">
        <f t="shared" si="359"/>
        <v>0.184245277390811</v>
      </c>
      <c r="HF55" s="25">
        <f t="shared" si="360"/>
        <v>0.00360587734196839</v>
      </c>
      <c r="HG55" s="25">
        <f t="shared" si="360"/>
        <v>0</v>
      </c>
      <c r="HH55" s="25">
        <f t="shared" si="360"/>
        <v>0.163390308875429</v>
      </c>
      <c r="HI55" s="25">
        <f t="shared" si="360"/>
        <v>0</v>
      </c>
      <c r="HJ55" s="25">
        <f t="shared" si="360"/>
        <v>0</v>
      </c>
      <c r="HK55" s="25">
        <f t="shared" si="360"/>
        <v>0.3995</v>
      </c>
      <c r="HL55" s="25">
        <f t="shared" si="360"/>
        <v>0</v>
      </c>
      <c r="HM55" s="25">
        <f t="shared" si="360"/>
        <v>0.00083882475971517</v>
      </c>
      <c r="HN55" s="25">
        <f t="shared" si="360"/>
        <v>0</v>
      </c>
      <c r="HO55" s="25">
        <f t="shared" si="360"/>
        <v>0.0134825945672478</v>
      </c>
      <c r="HP55" s="25">
        <f t="shared" si="361"/>
        <v>0.0751716405740378</v>
      </c>
      <c r="HQ55" s="25">
        <f t="shared" si="361"/>
        <v>0.0071549068339791</v>
      </c>
      <c r="HR55" s="25">
        <f t="shared" si="361"/>
        <v>0.0211019567000514</v>
      </c>
      <c r="HS55" s="25">
        <f t="shared" si="361"/>
        <v>0.099508696554587</v>
      </c>
      <c r="HT55" s="25">
        <f t="shared" si="361"/>
        <v>0.0371834162748865</v>
      </c>
      <c r="HU55" s="25">
        <f t="shared" si="361"/>
        <v>0.0338791402366331</v>
      </c>
      <c r="HV55" s="25">
        <f t="shared" si="361"/>
        <v>0.152516773832821</v>
      </c>
      <c r="HW55" s="25">
        <f t="shared" si="361"/>
        <v>0.298967876498954</v>
      </c>
      <c r="HX55" s="25" t="str">
        <f t="shared" si="340"/>
        <v>ELE,CHP</v>
      </c>
      <c r="HY55" s="25" t="str">
        <f t="shared" si="340"/>
        <v>???OIL</v>
      </c>
      <c r="HZ55" t="s">
        <v>247</v>
      </c>
      <c r="IA55">
        <f t="shared" si="341"/>
        <v>2019</v>
      </c>
    </row>
    <row r="56" spans="1:235">
      <c r="A56">
        <v>2019</v>
      </c>
      <c r="B56" t="str">
        <f t="shared" si="342"/>
        <v>UCE_utilization_CRD_LO</v>
      </c>
      <c r="C56" t="s">
        <v>404</v>
      </c>
      <c r="D56" t="str">
        <f t="shared" si="343"/>
        <v>???OIL_CRD</v>
      </c>
      <c r="F56" s="25">
        <f t="shared" ref="F56:BQ56" si="366">ROUNDDOWN(-F8*$DP$51,2)</f>
        <v>0</v>
      </c>
      <c r="G56" s="25">
        <f t="shared" si="366"/>
        <v>0</v>
      </c>
      <c r="H56" s="25">
        <f t="shared" si="366"/>
        <v>0</v>
      </c>
      <c r="I56" s="25">
        <f t="shared" si="366"/>
        <v>0</v>
      </c>
      <c r="J56" s="25">
        <f t="shared" si="366"/>
        <v>0</v>
      </c>
      <c r="K56" s="25">
        <f t="shared" si="366"/>
        <v>0</v>
      </c>
      <c r="L56" s="25">
        <f t="shared" si="366"/>
        <v>0</v>
      </c>
      <c r="M56" s="25">
        <f t="shared" si="366"/>
        <v>0</v>
      </c>
      <c r="N56" s="25">
        <f t="shared" si="366"/>
        <v>0</v>
      </c>
      <c r="O56" s="25">
        <f t="shared" si="366"/>
        <v>0</v>
      </c>
      <c r="P56" s="25">
        <f t="shared" si="366"/>
        <v>0</v>
      </c>
      <c r="Q56" s="25">
        <f t="shared" si="366"/>
        <v>0</v>
      </c>
      <c r="R56" s="25">
        <f t="shared" si="366"/>
        <v>0</v>
      </c>
      <c r="S56" s="25">
        <f t="shared" si="366"/>
        <v>0</v>
      </c>
      <c r="T56" s="25">
        <f t="shared" si="366"/>
        <v>0</v>
      </c>
      <c r="U56" s="25">
        <f t="shared" si="366"/>
        <v>0</v>
      </c>
      <c r="V56" s="25">
        <f t="shared" si="366"/>
        <v>0</v>
      </c>
      <c r="W56" s="25">
        <f t="shared" si="366"/>
        <v>0</v>
      </c>
      <c r="X56" s="25">
        <f t="shared" si="366"/>
        <v>0</v>
      </c>
      <c r="Y56" s="25">
        <f t="shared" si="366"/>
        <v>0</v>
      </c>
      <c r="Z56" s="25">
        <f t="shared" si="366"/>
        <v>0</v>
      </c>
      <c r="AA56" s="25">
        <f t="shared" si="366"/>
        <v>0</v>
      </c>
      <c r="AB56" s="25">
        <f t="shared" si="366"/>
        <v>0</v>
      </c>
      <c r="AC56" s="25">
        <f t="shared" si="366"/>
        <v>0</v>
      </c>
      <c r="AD56" s="25">
        <f t="shared" si="366"/>
        <v>0</v>
      </c>
      <c r="AE56" s="25">
        <f t="shared" si="366"/>
        <v>0</v>
      </c>
      <c r="AF56" s="25">
        <f t="shared" si="366"/>
        <v>0</v>
      </c>
      <c r="AG56" s="25">
        <f t="shared" si="366"/>
        <v>0</v>
      </c>
      <c r="AH56" s="25">
        <f t="shared" si="366"/>
        <v>0</v>
      </c>
      <c r="AI56" s="25">
        <f t="shared" si="366"/>
        <v>0</v>
      </c>
      <c r="AJ56" s="25">
        <f t="shared" si="366"/>
        <v>0</v>
      </c>
      <c r="AK56" s="25">
        <f t="shared" si="366"/>
        <v>-0.26</v>
      </c>
      <c r="AL56" s="25">
        <f t="shared" si="366"/>
        <v>0</v>
      </c>
      <c r="AM56" s="25">
        <f t="shared" si="366"/>
        <v>0</v>
      </c>
      <c r="AN56" s="25">
        <f t="shared" si="366"/>
        <v>0</v>
      </c>
      <c r="AO56" s="25">
        <f t="shared" si="366"/>
        <v>0</v>
      </c>
      <c r="AP56" s="25">
        <f t="shared" si="366"/>
        <v>0</v>
      </c>
      <c r="AQ56" s="25">
        <f t="shared" si="366"/>
        <v>0</v>
      </c>
      <c r="AR56" s="25">
        <f t="shared" si="366"/>
        <v>-0.73</v>
      </c>
      <c r="AS56" s="25">
        <f t="shared" si="366"/>
        <v>0</v>
      </c>
      <c r="AT56" s="25">
        <f t="shared" si="366"/>
        <v>0</v>
      </c>
      <c r="AU56" s="25">
        <f t="shared" si="366"/>
        <v>0</v>
      </c>
      <c r="AV56" s="25">
        <f t="shared" si="366"/>
        <v>0</v>
      </c>
      <c r="AW56" s="25">
        <f t="shared" si="366"/>
        <v>0</v>
      </c>
      <c r="AX56" s="25">
        <f t="shared" si="366"/>
        <v>0</v>
      </c>
      <c r="AY56" s="25">
        <f t="shared" si="366"/>
        <v>0</v>
      </c>
      <c r="AZ56" s="25">
        <f t="shared" si="366"/>
        <v>0</v>
      </c>
      <c r="BA56" s="25">
        <f t="shared" si="366"/>
        <v>0</v>
      </c>
      <c r="BB56" s="25">
        <f t="shared" si="366"/>
        <v>0</v>
      </c>
      <c r="BC56" s="25">
        <f t="shared" si="366"/>
        <v>0</v>
      </c>
      <c r="BD56" s="25">
        <f t="shared" si="366"/>
        <v>0</v>
      </c>
      <c r="BE56" s="25">
        <f t="shared" si="366"/>
        <v>0</v>
      </c>
      <c r="BF56" s="25">
        <f t="shared" si="366"/>
        <v>0</v>
      </c>
      <c r="BG56" s="25">
        <f t="shared" si="366"/>
        <v>0</v>
      </c>
      <c r="BH56" s="25">
        <f t="shared" si="366"/>
        <v>0</v>
      </c>
      <c r="BI56" s="25">
        <f t="shared" si="366"/>
        <v>0</v>
      </c>
      <c r="BJ56" s="25">
        <f t="shared" si="366"/>
        <v>0</v>
      </c>
      <c r="BK56" s="25">
        <f t="shared" si="366"/>
        <v>0</v>
      </c>
      <c r="BL56" s="25">
        <f t="shared" si="366"/>
        <v>0</v>
      </c>
      <c r="BM56" s="25">
        <f t="shared" si="366"/>
        <v>0</v>
      </c>
      <c r="BN56" s="25">
        <f t="shared" si="366"/>
        <v>0</v>
      </c>
      <c r="BO56" s="25">
        <f t="shared" si="366"/>
        <v>0</v>
      </c>
      <c r="BP56" s="25">
        <f t="shared" si="366"/>
        <v>0</v>
      </c>
      <c r="BQ56" s="25">
        <f t="shared" si="366"/>
        <v>0</v>
      </c>
      <c r="BR56" s="25">
        <f t="shared" ref="BR56:DJ56" si="367">ROUNDDOWN(-BR8*$DP$51,2)</f>
        <v>0</v>
      </c>
      <c r="BS56" s="25">
        <f t="shared" si="367"/>
        <v>0</v>
      </c>
      <c r="BT56" s="25">
        <f t="shared" si="367"/>
        <v>0</v>
      </c>
      <c r="BU56" s="25">
        <f t="shared" si="367"/>
        <v>0</v>
      </c>
      <c r="BV56" s="25">
        <f t="shared" si="367"/>
        <v>0</v>
      </c>
      <c r="BW56" s="25">
        <f t="shared" si="367"/>
        <v>0</v>
      </c>
      <c r="BX56" s="25">
        <f t="shared" si="367"/>
        <v>0</v>
      </c>
      <c r="BY56" s="25">
        <f t="shared" si="367"/>
        <v>0</v>
      </c>
      <c r="BZ56" s="25">
        <f t="shared" si="367"/>
        <v>-0.79</v>
      </c>
      <c r="CA56" s="25">
        <f t="shared" si="367"/>
        <v>0</v>
      </c>
      <c r="CB56" s="25">
        <f t="shared" si="367"/>
        <v>0</v>
      </c>
      <c r="CC56" s="25">
        <f t="shared" si="367"/>
        <v>0</v>
      </c>
      <c r="CD56" s="25">
        <f t="shared" si="367"/>
        <v>0</v>
      </c>
      <c r="CE56" s="25">
        <f t="shared" si="367"/>
        <v>0</v>
      </c>
      <c r="CF56" s="25">
        <f t="shared" si="367"/>
        <v>0</v>
      </c>
      <c r="CG56" s="25">
        <f t="shared" si="367"/>
        <v>0</v>
      </c>
      <c r="CH56" s="25">
        <f t="shared" si="367"/>
        <v>0</v>
      </c>
      <c r="CI56" s="25">
        <f t="shared" si="367"/>
        <v>0</v>
      </c>
      <c r="CJ56" s="25">
        <f t="shared" si="367"/>
        <v>-0.18</v>
      </c>
      <c r="CK56" s="25">
        <f t="shared" si="367"/>
        <v>0</v>
      </c>
      <c r="CL56" s="25">
        <f t="shared" si="367"/>
        <v>0</v>
      </c>
      <c r="CM56" s="25">
        <f t="shared" si="367"/>
        <v>0</v>
      </c>
      <c r="CN56" s="25">
        <f t="shared" si="367"/>
        <v>0</v>
      </c>
      <c r="CO56" s="25">
        <f t="shared" si="367"/>
        <v>0</v>
      </c>
      <c r="CP56" s="25">
        <f t="shared" si="367"/>
        <v>0</v>
      </c>
      <c r="CQ56" s="25">
        <f t="shared" si="367"/>
        <v>0</v>
      </c>
      <c r="CR56" s="25">
        <f t="shared" si="367"/>
        <v>-0.21</v>
      </c>
      <c r="CS56" s="25">
        <f t="shared" si="367"/>
        <v>0</v>
      </c>
      <c r="CT56" s="25">
        <f t="shared" si="367"/>
        <v>0</v>
      </c>
      <c r="CU56" s="25">
        <f t="shared" si="367"/>
        <v>0</v>
      </c>
      <c r="CV56" s="25">
        <f t="shared" si="367"/>
        <v>0</v>
      </c>
      <c r="CW56" s="25">
        <f t="shared" si="367"/>
        <v>0</v>
      </c>
      <c r="CX56" s="25">
        <f t="shared" si="367"/>
        <v>0</v>
      </c>
      <c r="CY56" s="25">
        <f t="shared" si="367"/>
        <v>0</v>
      </c>
      <c r="CZ56" s="25">
        <f t="shared" si="367"/>
        <v>0</v>
      </c>
      <c r="DA56" s="25">
        <f t="shared" si="367"/>
        <v>0</v>
      </c>
      <c r="DB56" s="25">
        <f t="shared" si="367"/>
        <v>0</v>
      </c>
      <c r="DC56" s="25">
        <f t="shared" si="367"/>
        <v>0</v>
      </c>
      <c r="DD56" s="25">
        <f t="shared" si="367"/>
        <v>0</v>
      </c>
      <c r="DE56" s="25">
        <f t="shared" si="367"/>
        <v>0</v>
      </c>
      <c r="DF56" s="25">
        <f t="shared" si="367"/>
        <v>0</v>
      </c>
      <c r="DG56" s="25">
        <f t="shared" si="367"/>
        <v>0</v>
      </c>
      <c r="DH56" s="25">
        <f t="shared" si="367"/>
        <v>0</v>
      </c>
      <c r="DI56" s="25">
        <f t="shared" si="367"/>
        <v>0</v>
      </c>
      <c r="DJ56" s="25">
        <f t="shared" si="367"/>
        <v>0</v>
      </c>
      <c r="DK56" s="7">
        <f t="shared" si="358"/>
        <v>0.0317097919837646</v>
      </c>
      <c r="DL56">
        <v>0</v>
      </c>
      <c r="DM56">
        <v>5</v>
      </c>
      <c r="DS56" s="25">
        <f t="shared" si="346"/>
        <v>0</v>
      </c>
      <c r="DT56" s="25">
        <f t="shared" si="346"/>
        <v>0</v>
      </c>
      <c r="DU56" s="25">
        <f t="shared" si="346"/>
        <v>0</v>
      </c>
      <c r="DV56" s="25">
        <f t="shared" si="346"/>
        <v>0</v>
      </c>
      <c r="DW56" s="25">
        <f t="shared" si="346"/>
        <v>0</v>
      </c>
      <c r="DX56" s="25">
        <f t="shared" si="346"/>
        <v>0</v>
      </c>
      <c r="DY56" s="25">
        <f t="shared" si="346"/>
        <v>0</v>
      </c>
      <c r="DZ56" s="25">
        <f t="shared" si="346"/>
        <v>0</v>
      </c>
      <c r="EA56" s="25">
        <f t="shared" si="346"/>
        <v>0</v>
      </c>
      <c r="EB56" s="25">
        <f t="shared" si="346"/>
        <v>0</v>
      </c>
      <c r="EC56" s="25">
        <f t="shared" si="347"/>
        <v>0</v>
      </c>
      <c r="ED56" s="25">
        <f t="shared" si="347"/>
        <v>0</v>
      </c>
      <c r="EE56" s="25">
        <f t="shared" si="347"/>
        <v>0</v>
      </c>
      <c r="EF56" s="25">
        <f t="shared" si="347"/>
        <v>0</v>
      </c>
      <c r="EG56" s="25">
        <f t="shared" si="347"/>
        <v>0</v>
      </c>
      <c r="EH56" s="25">
        <f t="shared" si="347"/>
        <v>0</v>
      </c>
      <c r="EI56" s="25">
        <f t="shared" si="347"/>
        <v>0</v>
      </c>
      <c r="EJ56" s="25">
        <f t="shared" si="347"/>
        <v>0</v>
      </c>
      <c r="EK56" s="25">
        <f t="shared" si="347"/>
        <v>0</v>
      </c>
      <c r="EL56" s="25">
        <f t="shared" si="347"/>
        <v>0</v>
      </c>
      <c r="EM56" s="25">
        <f t="shared" si="348"/>
        <v>0</v>
      </c>
      <c r="EN56" s="25">
        <f t="shared" si="348"/>
        <v>0</v>
      </c>
      <c r="EO56" s="25">
        <f t="shared" si="348"/>
        <v>0</v>
      </c>
      <c r="EP56" s="25">
        <f t="shared" si="348"/>
        <v>0</v>
      </c>
      <c r="EQ56" s="25">
        <f t="shared" si="348"/>
        <v>0</v>
      </c>
      <c r="ER56" s="25">
        <f t="shared" si="348"/>
        <v>0</v>
      </c>
      <c r="ES56" s="25">
        <f t="shared" si="348"/>
        <v>0</v>
      </c>
      <c r="ET56" s="25">
        <f t="shared" si="348"/>
        <v>0</v>
      </c>
      <c r="EU56" s="25">
        <f t="shared" si="348"/>
        <v>0</v>
      </c>
      <c r="EV56" s="25">
        <f t="shared" si="348"/>
        <v>0</v>
      </c>
      <c r="EW56" s="25">
        <f t="shared" si="349"/>
        <v>0</v>
      </c>
      <c r="EX56" s="25">
        <f t="shared" si="349"/>
        <v>0.134497129942876</v>
      </c>
      <c r="EY56" s="25">
        <f t="shared" si="349"/>
        <v>0</v>
      </c>
      <c r="EZ56" s="25">
        <f t="shared" si="349"/>
        <v>0</v>
      </c>
      <c r="FA56" s="25">
        <f t="shared" si="349"/>
        <v>0</v>
      </c>
      <c r="FB56" s="25">
        <f t="shared" si="349"/>
        <v>0</v>
      </c>
      <c r="FC56" s="25">
        <f t="shared" si="349"/>
        <v>0</v>
      </c>
      <c r="FD56" s="25">
        <f t="shared" si="349"/>
        <v>0</v>
      </c>
      <c r="FE56" s="25">
        <f t="shared" si="349"/>
        <v>0.368822524456045</v>
      </c>
      <c r="FF56" s="25">
        <f t="shared" si="349"/>
        <v>0</v>
      </c>
      <c r="FG56" s="25">
        <f t="shared" si="350"/>
        <v>0</v>
      </c>
      <c r="FH56" s="25">
        <f t="shared" si="350"/>
        <v>0</v>
      </c>
      <c r="FI56" s="25">
        <f t="shared" si="350"/>
        <v>0</v>
      </c>
      <c r="FJ56" s="25">
        <f t="shared" si="350"/>
        <v>0.00326089034269007</v>
      </c>
      <c r="FK56" s="25">
        <f t="shared" si="350"/>
        <v>0</v>
      </c>
      <c r="FL56" s="25">
        <f t="shared" si="350"/>
        <v>0</v>
      </c>
      <c r="FM56" s="25">
        <f t="shared" si="350"/>
        <v>0</v>
      </c>
      <c r="FN56" s="25">
        <f t="shared" si="350"/>
        <v>0</v>
      </c>
      <c r="FO56" s="25">
        <f t="shared" si="350"/>
        <v>0</v>
      </c>
      <c r="FP56" s="25">
        <f t="shared" si="350"/>
        <v>0</v>
      </c>
      <c r="FQ56" s="25">
        <f t="shared" si="351"/>
        <v>0</v>
      </c>
      <c r="FR56" s="25">
        <f t="shared" si="351"/>
        <v>0</v>
      </c>
      <c r="FS56" s="25">
        <f t="shared" si="351"/>
        <v>0</v>
      </c>
      <c r="FT56" s="25">
        <f t="shared" si="351"/>
        <v>0</v>
      </c>
      <c r="FU56" s="25">
        <f t="shared" si="351"/>
        <v>0</v>
      </c>
      <c r="FV56" s="25">
        <f t="shared" si="351"/>
        <v>0</v>
      </c>
      <c r="FW56" s="25">
        <f t="shared" si="351"/>
        <v>0</v>
      </c>
      <c r="FX56" s="25">
        <f t="shared" si="351"/>
        <v>0</v>
      </c>
      <c r="FY56" s="25">
        <f t="shared" si="351"/>
        <v>0</v>
      </c>
      <c r="FZ56" s="25">
        <f t="shared" si="351"/>
        <v>0</v>
      </c>
      <c r="GA56" s="25">
        <f t="shared" si="352"/>
        <v>0</v>
      </c>
      <c r="GB56" s="25">
        <f t="shared" si="352"/>
        <v>0</v>
      </c>
      <c r="GC56" s="25">
        <f t="shared" si="352"/>
        <v>0</v>
      </c>
      <c r="GD56" s="25">
        <f t="shared" si="352"/>
        <v>0</v>
      </c>
      <c r="GE56" s="25">
        <f t="shared" si="352"/>
        <v>0</v>
      </c>
      <c r="GF56" s="25">
        <f t="shared" si="352"/>
        <v>0</v>
      </c>
      <c r="GG56" s="25">
        <f t="shared" si="352"/>
        <v>0</v>
      </c>
      <c r="GH56" s="25">
        <f t="shared" si="352"/>
        <v>0</v>
      </c>
      <c r="GI56" s="25">
        <f t="shared" si="352"/>
        <v>0</v>
      </c>
      <c r="GJ56" s="25">
        <f t="shared" si="352"/>
        <v>0</v>
      </c>
      <c r="GK56" s="25">
        <f t="shared" si="353"/>
        <v>0</v>
      </c>
      <c r="GL56" s="25">
        <f t="shared" si="353"/>
        <v>0</v>
      </c>
      <c r="GM56" s="25">
        <f t="shared" si="353"/>
        <v>0.3995</v>
      </c>
      <c r="GN56" s="25">
        <f t="shared" si="353"/>
        <v>0</v>
      </c>
      <c r="GO56" s="25">
        <f t="shared" si="353"/>
        <v>0</v>
      </c>
      <c r="GP56" s="25">
        <f t="shared" si="353"/>
        <v>0</v>
      </c>
      <c r="GQ56" s="25">
        <f t="shared" si="353"/>
        <v>0</v>
      </c>
      <c r="GR56" s="25">
        <f t="shared" si="353"/>
        <v>0</v>
      </c>
      <c r="GS56" s="25">
        <f t="shared" si="353"/>
        <v>0</v>
      </c>
      <c r="GT56" s="25">
        <f t="shared" si="353"/>
        <v>0</v>
      </c>
      <c r="GU56" s="25">
        <f t="shared" si="354"/>
        <v>0</v>
      </c>
      <c r="GV56" s="25">
        <f t="shared" si="359"/>
        <v>0</v>
      </c>
      <c r="GW56" s="25">
        <f t="shared" si="359"/>
        <v>0.0928856886421388</v>
      </c>
      <c r="GX56" s="25">
        <f t="shared" si="359"/>
        <v>0</v>
      </c>
      <c r="GY56" s="25">
        <f t="shared" si="359"/>
        <v>0</v>
      </c>
      <c r="GZ56" s="25">
        <f t="shared" si="359"/>
        <v>0</v>
      </c>
      <c r="HA56" s="25">
        <f t="shared" si="359"/>
        <v>0</v>
      </c>
      <c r="HB56" s="25">
        <f t="shared" si="359"/>
        <v>0</v>
      </c>
      <c r="HC56" s="25">
        <f t="shared" si="359"/>
        <v>0</v>
      </c>
      <c r="HD56" s="25">
        <f t="shared" si="359"/>
        <v>0</v>
      </c>
      <c r="HE56" s="25">
        <f t="shared" si="359"/>
        <v>0.108747054794521</v>
      </c>
      <c r="HF56" s="25">
        <f t="shared" si="360"/>
        <v>0</v>
      </c>
      <c r="HG56" s="25">
        <f t="shared" si="360"/>
        <v>0</v>
      </c>
      <c r="HH56" s="25">
        <f t="shared" si="360"/>
        <v>0</v>
      </c>
      <c r="HI56" s="25">
        <f t="shared" si="360"/>
        <v>0</v>
      </c>
      <c r="HJ56" s="25">
        <f t="shared" si="360"/>
        <v>0</v>
      </c>
      <c r="HK56" s="25">
        <f t="shared" si="360"/>
        <v>0</v>
      </c>
      <c r="HL56" s="25">
        <f t="shared" si="360"/>
        <v>0</v>
      </c>
      <c r="HM56" s="25">
        <f t="shared" si="360"/>
        <v>0</v>
      </c>
      <c r="HN56" s="25">
        <f t="shared" si="360"/>
        <v>0</v>
      </c>
      <c r="HO56" s="25">
        <f t="shared" si="360"/>
        <v>0</v>
      </c>
      <c r="HP56" s="25">
        <f t="shared" si="361"/>
        <v>0</v>
      </c>
      <c r="HQ56" s="25">
        <f t="shared" si="361"/>
        <v>0</v>
      </c>
      <c r="HR56" s="25">
        <f t="shared" si="361"/>
        <v>0</v>
      </c>
      <c r="HS56" s="25">
        <f t="shared" si="361"/>
        <v>0</v>
      </c>
      <c r="HT56" s="25">
        <f t="shared" si="361"/>
        <v>0</v>
      </c>
      <c r="HU56" s="25">
        <f t="shared" si="361"/>
        <v>0</v>
      </c>
      <c r="HV56" s="25">
        <f t="shared" si="361"/>
        <v>0</v>
      </c>
      <c r="HW56" s="25">
        <f t="shared" si="361"/>
        <v>0</v>
      </c>
      <c r="HX56" s="25" t="str">
        <f t="shared" si="340"/>
        <v>ELE,CHP</v>
      </c>
      <c r="HY56" s="25" t="str">
        <f t="shared" si="340"/>
        <v>???OIL_CRD</v>
      </c>
      <c r="HZ56" t="s">
        <v>247</v>
      </c>
      <c r="IA56">
        <f t="shared" si="341"/>
        <v>2019</v>
      </c>
    </row>
    <row r="57" spans="1:235">
      <c r="A57">
        <v>2019</v>
      </c>
      <c r="B57" t="str">
        <f t="shared" si="342"/>
        <v>UCE_utilization_DST_LO</v>
      </c>
      <c r="C57" t="s">
        <v>404</v>
      </c>
      <c r="D57" t="str">
        <f t="shared" si="343"/>
        <v>???OIL_DST</v>
      </c>
      <c r="F57" s="25">
        <f t="shared" ref="F57:BQ57" si="368">ROUNDDOWN(-F9*$DP$51,2)</f>
        <v>0</v>
      </c>
      <c r="G57" s="25">
        <f t="shared" si="368"/>
        <v>-0.15</v>
      </c>
      <c r="H57" s="25">
        <f t="shared" si="368"/>
        <v>0</v>
      </c>
      <c r="I57" s="25">
        <f t="shared" si="368"/>
        <v>-0.34</v>
      </c>
      <c r="J57" s="25">
        <f t="shared" si="368"/>
        <v>0</v>
      </c>
      <c r="K57" s="25">
        <f t="shared" si="368"/>
        <v>-0.04</v>
      </c>
      <c r="L57" s="25">
        <f t="shared" si="368"/>
        <v>-0.01</v>
      </c>
      <c r="M57" s="25">
        <f t="shared" si="368"/>
        <v>-0.02</v>
      </c>
      <c r="N57" s="25">
        <f t="shared" si="368"/>
        <v>-0.17</v>
      </c>
      <c r="O57" s="25">
        <f t="shared" si="368"/>
        <v>0</v>
      </c>
      <c r="P57" s="25">
        <f t="shared" si="368"/>
        <v>-0.79</v>
      </c>
      <c r="Q57" s="25">
        <f t="shared" si="368"/>
        <v>0</v>
      </c>
      <c r="R57" s="25">
        <f t="shared" si="368"/>
        <v>-0.12</v>
      </c>
      <c r="S57" s="25">
        <f t="shared" si="368"/>
        <v>0</v>
      </c>
      <c r="T57" s="25">
        <f t="shared" si="368"/>
        <v>0</v>
      </c>
      <c r="U57" s="25">
        <f t="shared" si="368"/>
        <v>-0.06</v>
      </c>
      <c r="V57" s="25">
        <f t="shared" si="368"/>
        <v>-0.01</v>
      </c>
      <c r="W57" s="25">
        <f t="shared" si="368"/>
        <v>0</v>
      </c>
      <c r="X57" s="25">
        <f t="shared" si="368"/>
        <v>-0.02</v>
      </c>
      <c r="Y57" s="25">
        <f t="shared" si="368"/>
        <v>0</v>
      </c>
      <c r="Z57" s="25">
        <f t="shared" si="368"/>
        <v>-0.28</v>
      </c>
      <c r="AA57" s="25">
        <f t="shared" si="368"/>
        <v>0</v>
      </c>
      <c r="AB57" s="25">
        <f t="shared" si="368"/>
        <v>0</v>
      </c>
      <c r="AC57" s="25">
        <f t="shared" si="368"/>
        <v>0</v>
      </c>
      <c r="AD57" s="25">
        <f t="shared" si="368"/>
        <v>0</v>
      </c>
      <c r="AE57" s="25">
        <f t="shared" si="368"/>
        <v>0</v>
      </c>
      <c r="AF57" s="25">
        <f t="shared" si="368"/>
        <v>0</v>
      </c>
      <c r="AG57" s="25">
        <f t="shared" si="368"/>
        <v>0</v>
      </c>
      <c r="AH57" s="25">
        <f t="shared" si="368"/>
        <v>-0.2</v>
      </c>
      <c r="AI57" s="25">
        <f t="shared" si="368"/>
        <v>0</v>
      </c>
      <c r="AJ57" s="25">
        <f t="shared" si="368"/>
        <v>-0.04</v>
      </c>
      <c r="AK57" s="25">
        <f t="shared" si="368"/>
        <v>-0.03</v>
      </c>
      <c r="AL57" s="25">
        <f t="shared" si="368"/>
        <v>-0.1</v>
      </c>
      <c r="AM57" s="25">
        <f t="shared" si="368"/>
        <v>-0.04</v>
      </c>
      <c r="AN57" s="25">
        <f t="shared" si="368"/>
        <v>0</v>
      </c>
      <c r="AO57" s="25">
        <f t="shared" si="368"/>
        <v>-0.79</v>
      </c>
      <c r="AP57" s="25">
        <f t="shared" si="368"/>
        <v>-0.11</v>
      </c>
      <c r="AQ57" s="25">
        <f t="shared" si="368"/>
        <v>-0.45</v>
      </c>
      <c r="AR57" s="25">
        <f t="shared" si="368"/>
        <v>0</v>
      </c>
      <c r="AS57" s="25">
        <f t="shared" si="368"/>
        <v>-0.01</v>
      </c>
      <c r="AT57" s="25">
        <f t="shared" si="368"/>
        <v>-0.06</v>
      </c>
      <c r="AU57" s="25">
        <f t="shared" si="368"/>
        <v>-0.14</v>
      </c>
      <c r="AV57" s="25">
        <f t="shared" si="368"/>
        <v>0</v>
      </c>
      <c r="AW57" s="25">
        <f t="shared" si="368"/>
        <v>-0.17</v>
      </c>
      <c r="AX57" s="25">
        <f t="shared" si="368"/>
        <v>0</v>
      </c>
      <c r="AY57" s="25">
        <f t="shared" si="368"/>
        <v>-0.26</v>
      </c>
      <c r="AZ57" s="25">
        <f t="shared" si="368"/>
        <v>-0.5</v>
      </c>
      <c r="BA57" s="25">
        <f t="shared" si="368"/>
        <v>0</v>
      </c>
      <c r="BB57" s="25">
        <f t="shared" si="368"/>
        <v>0</v>
      </c>
      <c r="BC57" s="25">
        <f t="shared" si="368"/>
        <v>0</v>
      </c>
      <c r="BD57" s="25">
        <f t="shared" si="368"/>
        <v>0</v>
      </c>
      <c r="BE57" s="25">
        <f t="shared" si="368"/>
        <v>0</v>
      </c>
      <c r="BF57" s="25">
        <f t="shared" si="368"/>
        <v>0</v>
      </c>
      <c r="BG57" s="25">
        <f t="shared" si="368"/>
        <v>0</v>
      </c>
      <c r="BH57" s="25">
        <f t="shared" si="368"/>
        <v>-0.11</v>
      </c>
      <c r="BI57" s="25">
        <f t="shared" si="368"/>
        <v>-0.01</v>
      </c>
      <c r="BJ57" s="25">
        <f t="shared" si="368"/>
        <v>-0.23</v>
      </c>
      <c r="BK57" s="25">
        <f t="shared" si="368"/>
        <v>0</v>
      </c>
      <c r="BL57" s="25">
        <f t="shared" si="368"/>
        <v>0</v>
      </c>
      <c r="BM57" s="25">
        <f t="shared" si="368"/>
        <v>0</v>
      </c>
      <c r="BN57" s="25">
        <f t="shared" si="368"/>
        <v>0</v>
      </c>
      <c r="BO57" s="25">
        <f t="shared" si="368"/>
        <v>-0.21</v>
      </c>
      <c r="BP57" s="25">
        <f t="shared" si="368"/>
        <v>0</v>
      </c>
      <c r="BQ57" s="25">
        <f t="shared" si="368"/>
        <v>0</v>
      </c>
      <c r="BR57" s="25">
        <f t="shared" ref="BR57:DJ57" si="369">ROUNDDOWN(-BR9*$DP$51,2)</f>
        <v>0</v>
      </c>
      <c r="BS57" s="25">
        <f t="shared" si="369"/>
        <v>0</v>
      </c>
      <c r="BT57" s="25">
        <f t="shared" si="369"/>
        <v>0</v>
      </c>
      <c r="BU57" s="25">
        <f t="shared" si="369"/>
        <v>-0.02</v>
      </c>
      <c r="BV57" s="25">
        <f t="shared" si="369"/>
        <v>-0.3</v>
      </c>
      <c r="BW57" s="25">
        <f t="shared" si="369"/>
        <v>-0.03</v>
      </c>
      <c r="BX57" s="25">
        <f t="shared" si="369"/>
        <v>-0.18</v>
      </c>
      <c r="BY57" s="25">
        <f t="shared" si="369"/>
        <v>0</v>
      </c>
      <c r="BZ57" s="25">
        <f t="shared" si="369"/>
        <v>-0.02</v>
      </c>
      <c r="CA57" s="25">
        <f t="shared" si="369"/>
        <v>-0.57</v>
      </c>
      <c r="CB57" s="25">
        <f t="shared" si="369"/>
        <v>0</v>
      </c>
      <c r="CC57" s="25">
        <f t="shared" si="369"/>
        <v>0</v>
      </c>
      <c r="CD57" s="25">
        <f t="shared" si="369"/>
        <v>0</v>
      </c>
      <c r="CE57" s="25">
        <f t="shared" si="369"/>
        <v>-0.79</v>
      </c>
      <c r="CF57" s="25">
        <f t="shared" si="369"/>
        <v>-0.07</v>
      </c>
      <c r="CG57" s="25">
        <f t="shared" si="369"/>
        <v>0</v>
      </c>
      <c r="CH57" s="25">
        <f t="shared" si="369"/>
        <v>0</v>
      </c>
      <c r="CI57" s="25">
        <f t="shared" si="369"/>
        <v>0</v>
      </c>
      <c r="CJ57" s="25">
        <f t="shared" si="369"/>
        <v>0</v>
      </c>
      <c r="CK57" s="25">
        <f t="shared" si="369"/>
        <v>0</v>
      </c>
      <c r="CL57" s="25">
        <f t="shared" si="369"/>
        <v>0</v>
      </c>
      <c r="CM57" s="25">
        <f t="shared" si="369"/>
        <v>0</v>
      </c>
      <c r="CN57" s="25">
        <f t="shared" si="369"/>
        <v>0</v>
      </c>
      <c r="CO57" s="25">
        <f t="shared" si="369"/>
        <v>0</v>
      </c>
      <c r="CP57" s="25">
        <f t="shared" si="369"/>
        <v>-0.51</v>
      </c>
      <c r="CQ57" s="25">
        <f t="shared" si="369"/>
        <v>-0.24</v>
      </c>
      <c r="CR57" s="25">
        <f t="shared" si="369"/>
        <v>0</v>
      </c>
      <c r="CS57" s="25">
        <f t="shared" si="369"/>
        <v>0</v>
      </c>
      <c r="CT57" s="25">
        <f t="shared" si="369"/>
        <v>0</v>
      </c>
      <c r="CU57" s="25">
        <f t="shared" si="369"/>
        <v>-0.01</v>
      </c>
      <c r="CV57" s="25">
        <f t="shared" si="369"/>
        <v>0</v>
      </c>
      <c r="CW57" s="25">
        <f t="shared" si="369"/>
        <v>-0.01</v>
      </c>
      <c r="CX57" s="25">
        <f t="shared" si="369"/>
        <v>-0.12</v>
      </c>
      <c r="CY57" s="25">
        <f t="shared" si="369"/>
        <v>0</v>
      </c>
      <c r="CZ57" s="25">
        <f t="shared" si="369"/>
        <v>0</v>
      </c>
      <c r="DA57" s="25">
        <f t="shared" si="369"/>
        <v>0</v>
      </c>
      <c r="DB57" s="25">
        <f t="shared" si="369"/>
        <v>-0.06</v>
      </c>
      <c r="DC57" s="25">
        <f t="shared" si="369"/>
        <v>-0.01</v>
      </c>
      <c r="DD57" s="25">
        <f t="shared" si="369"/>
        <v>0</v>
      </c>
      <c r="DE57" s="25">
        <f t="shared" si="369"/>
        <v>-0.24</v>
      </c>
      <c r="DF57" s="25">
        <f t="shared" si="369"/>
        <v>0</v>
      </c>
      <c r="DG57" s="25">
        <f t="shared" si="369"/>
        <v>-0.3</v>
      </c>
      <c r="DH57" s="25">
        <f t="shared" si="369"/>
        <v>-0.38</v>
      </c>
      <c r="DI57" s="25">
        <f t="shared" si="369"/>
        <v>0</v>
      </c>
      <c r="DJ57" s="25">
        <f t="shared" si="369"/>
        <v>0</v>
      </c>
      <c r="DK57" s="7">
        <f t="shared" si="358"/>
        <v>0.0317097919837646</v>
      </c>
      <c r="DL57">
        <v>0</v>
      </c>
      <c r="DM57">
        <v>5</v>
      </c>
      <c r="DS57" s="25">
        <f t="shared" si="346"/>
        <v>0</v>
      </c>
      <c r="DT57" s="25">
        <f t="shared" si="346"/>
        <v>0.0763793344100815</v>
      </c>
      <c r="DU57" s="25">
        <f t="shared" si="346"/>
        <v>0</v>
      </c>
      <c r="DV57" s="25">
        <f t="shared" si="346"/>
        <v>0.173730132678556</v>
      </c>
      <c r="DW57" s="25">
        <f t="shared" si="346"/>
        <v>0</v>
      </c>
      <c r="DX57" s="25">
        <f t="shared" si="346"/>
        <v>0.0227964052355513</v>
      </c>
      <c r="DY57" s="25">
        <f t="shared" si="346"/>
        <v>0.0051604400166044</v>
      </c>
      <c r="DZ57" s="25">
        <f t="shared" si="346"/>
        <v>0.0101940639269406</v>
      </c>
      <c r="EA57" s="25">
        <f t="shared" si="346"/>
        <v>0.0853715511893502</v>
      </c>
      <c r="EB57" s="25">
        <f t="shared" si="346"/>
        <v>0</v>
      </c>
      <c r="EC57" s="25">
        <f t="shared" si="347"/>
        <v>0.3995</v>
      </c>
      <c r="ED57" s="25">
        <f t="shared" si="347"/>
        <v>0</v>
      </c>
      <c r="EE57" s="25">
        <f t="shared" si="347"/>
        <v>0.0609898896351178</v>
      </c>
      <c r="EF57" s="25">
        <f t="shared" si="347"/>
        <v>0</v>
      </c>
      <c r="EG57" s="25">
        <f t="shared" si="347"/>
        <v>0</v>
      </c>
      <c r="EH57" s="25">
        <f t="shared" si="347"/>
        <v>0.034124419760988</v>
      </c>
      <c r="EI57" s="25">
        <f t="shared" si="347"/>
        <v>0.00699973349306388</v>
      </c>
      <c r="EJ57" s="25">
        <f t="shared" si="347"/>
        <v>0</v>
      </c>
      <c r="EK57" s="25">
        <f t="shared" si="347"/>
        <v>0.0121916051984545</v>
      </c>
      <c r="EL57" s="25">
        <f t="shared" si="347"/>
        <v>0.00212678431856514</v>
      </c>
      <c r="EM57" s="25">
        <f t="shared" si="348"/>
        <v>0.143400069430246</v>
      </c>
      <c r="EN57" s="25">
        <f t="shared" si="348"/>
        <v>0</v>
      </c>
      <c r="EO57" s="25">
        <f t="shared" si="348"/>
        <v>0.00255589163305892</v>
      </c>
      <c r="EP57" s="25">
        <f t="shared" si="348"/>
        <v>0</v>
      </c>
      <c r="EQ57" s="25">
        <f t="shared" si="348"/>
        <v>0</v>
      </c>
      <c r="ER57" s="25">
        <f t="shared" si="348"/>
        <v>0</v>
      </c>
      <c r="ES57" s="25">
        <f t="shared" si="348"/>
        <v>0</v>
      </c>
      <c r="ET57" s="25">
        <f t="shared" si="348"/>
        <v>0.00213278879151422</v>
      </c>
      <c r="EU57" s="25">
        <f t="shared" si="348"/>
        <v>0.101064345591027</v>
      </c>
      <c r="EV57" s="25">
        <f t="shared" si="348"/>
        <v>0</v>
      </c>
      <c r="EW57" s="25">
        <f t="shared" si="349"/>
        <v>0.0249054636799729</v>
      </c>
      <c r="EX57" s="25">
        <f t="shared" si="349"/>
        <v>0.019816472849118</v>
      </c>
      <c r="EY57" s="25">
        <f t="shared" si="349"/>
        <v>0.0502953306819856</v>
      </c>
      <c r="EZ57" s="25">
        <f t="shared" si="349"/>
        <v>0.0211360177113602</v>
      </c>
      <c r="FA57" s="25">
        <f t="shared" si="349"/>
        <v>0.00285648401826484</v>
      </c>
      <c r="FB57" s="25">
        <f t="shared" si="349"/>
        <v>0.3995</v>
      </c>
      <c r="FC57" s="25">
        <f t="shared" si="349"/>
        <v>0.0593897116910682</v>
      </c>
      <c r="FD57" s="25">
        <f t="shared" si="349"/>
        <v>0.22963859294088</v>
      </c>
      <c r="FE57" s="25">
        <f t="shared" si="349"/>
        <v>0</v>
      </c>
      <c r="FF57" s="25">
        <f t="shared" si="349"/>
        <v>0.00956816749306664</v>
      </c>
      <c r="FG57" s="25">
        <f t="shared" si="350"/>
        <v>0.0335546128648005</v>
      </c>
      <c r="FH57" s="25">
        <f t="shared" si="350"/>
        <v>0.0740553915825523</v>
      </c>
      <c r="FI57" s="25">
        <f t="shared" si="350"/>
        <v>0.00193150684931507</v>
      </c>
      <c r="FJ57" s="25">
        <f t="shared" si="350"/>
        <v>0.0867725381198737</v>
      </c>
      <c r="FK57" s="25">
        <f t="shared" si="350"/>
        <v>0</v>
      </c>
      <c r="FL57" s="25">
        <f t="shared" si="350"/>
        <v>0.130906450494191</v>
      </c>
      <c r="FM57" s="25">
        <f t="shared" si="350"/>
        <v>0.252490867579909</v>
      </c>
      <c r="FN57" s="25">
        <f t="shared" si="350"/>
        <v>0</v>
      </c>
      <c r="FO57" s="25">
        <f t="shared" si="350"/>
        <v>0</v>
      </c>
      <c r="FP57" s="25">
        <f t="shared" si="350"/>
        <v>0</v>
      </c>
      <c r="FQ57" s="25">
        <f t="shared" si="351"/>
        <v>0</v>
      </c>
      <c r="FR57" s="25">
        <f t="shared" si="351"/>
        <v>0</v>
      </c>
      <c r="FS57" s="25">
        <f t="shared" si="351"/>
        <v>0</v>
      </c>
      <c r="FT57" s="25">
        <f t="shared" si="351"/>
        <v>0</v>
      </c>
      <c r="FU57" s="25">
        <f t="shared" si="351"/>
        <v>0.0571303301993817</v>
      </c>
      <c r="FV57" s="25">
        <f t="shared" si="351"/>
        <v>0.00851331410718577</v>
      </c>
      <c r="FW57" s="25">
        <f t="shared" si="351"/>
        <v>0.115972347943865</v>
      </c>
      <c r="FX57" s="25">
        <f t="shared" si="351"/>
        <v>0</v>
      </c>
      <c r="FY57" s="25">
        <f t="shared" si="351"/>
        <v>0</v>
      </c>
      <c r="FZ57" s="25">
        <f t="shared" si="351"/>
        <v>0.00418951723061312</v>
      </c>
      <c r="GA57" s="25">
        <f t="shared" si="352"/>
        <v>0</v>
      </c>
      <c r="GB57" s="25">
        <f t="shared" si="352"/>
        <v>0.107931887366819</v>
      </c>
      <c r="GC57" s="25">
        <f t="shared" si="352"/>
        <v>0</v>
      </c>
      <c r="GD57" s="25">
        <f t="shared" si="352"/>
        <v>0</v>
      </c>
      <c r="GE57" s="25">
        <f t="shared" si="352"/>
        <v>0.00124498599863771</v>
      </c>
      <c r="GF57" s="25">
        <f t="shared" si="352"/>
        <v>0</v>
      </c>
      <c r="GG57" s="25">
        <f t="shared" si="352"/>
        <v>0</v>
      </c>
      <c r="GH57" s="25">
        <f t="shared" si="352"/>
        <v>0.0105030310187372</v>
      </c>
      <c r="GI57" s="25">
        <f t="shared" si="352"/>
        <v>0.150362442922374</v>
      </c>
      <c r="GJ57" s="25">
        <f t="shared" si="352"/>
        <v>0.0170466502410878</v>
      </c>
      <c r="GK57" s="25">
        <f t="shared" si="353"/>
        <v>0.0944366673253479</v>
      </c>
      <c r="GL57" s="25">
        <f t="shared" si="353"/>
        <v>0</v>
      </c>
      <c r="GM57" s="25">
        <f t="shared" si="353"/>
        <v>0.0139798398558391</v>
      </c>
      <c r="GN57" s="25">
        <f t="shared" si="353"/>
        <v>0.285126151513703</v>
      </c>
      <c r="GO57" s="25">
        <f t="shared" si="353"/>
        <v>0</v>
      </c>
      <c r="GP57" s="25">
        <f t="shared" si="353"/>
        <v>0</v>
      </c>
      <c r="GQ57" s="25">
        <f t="shared" si="353"/>
        <v>0</v>
      </c>
      <c r="GR57" s="25">
        <f t="shared" si="353"/>
        <v>0.3995</v>
      </c>
      <c r="GS57" s="25">
        <f t="shared" si="353"/>
        <v>0.0363611356606275</v>
      </c>
      <c r="GT57" s="25">
        <f t="shared" si="353"/>
        <v>0</v>
      </c>
      <c r="GU57" s="25">
        <f t="shared" si="354"/>
        <v>0</v>
      </c>
      <c r="GV57" s="25">
        <f t="shared" si="359"/>
        <v>0</v>
      </c>
      <c r="GW57" s="25">
        <f t="shared" si="359"/>
        <v>0</v>
      </c>
      <c r="GX57" s="25">
        <f t="shared" si="359"/>
        <v>0</v>
      </c>
      <c r="GY57" s="25">
        <f t="shared" si="359"/>
        <v>0</v>
      </c>
      <c r="GZ57" s="25">
        <f t="shared" si="359"/>
        <v>0</v>
      </c>
      <c r="HA57" s="25">
        <f t="shared" si="359"/>
        <v>0</v>
      </c>
      <c r="HB57" s="25">
        <f t="shared" si="359"/>
        <v>0.00330022006966256</v>
      </c>
      <c r="HC57" s="25">
        <f t="shared" si="359"/>
        <v>0.257382631727464</v>
      </c>
      <c r="HD57" s="25">
        <f t="shared" si="359"/>
        <v>0.124367760457082</v>
      </c>
      <c r="HE57" s="25">
        <f t="shared" si="359"/>
        <v>0</v>
      </c>
      <c r="HF57" s="25">
        <f t="shared" si="360"/>
        <v>0.00310826937933812</v>
      </c>
      <c r="HG57" s="25">
        <f t="shared" si="360"/>
        <v>0.00183168737389827</v>
      </c>
      <c r="HH57" s="25">
        <f t="shared" si="360"/>
        <v>0.00859185688086149</v>
      </c>
      <c r="HI57" s="25">
        <f t="shared" si="360"/>
        <v>0</v>
      </c>
      <c r="HJ57" s="25">
        <f t="shared" si="360"/>
        <v>0.00977113134925446</v>
      </c>
      <c r="HK57" s="25">
        <f t="shared" si="360"/>
        <v>0.0617571623214023</v>
      </c>
      <c r="HL57" s="25">
        <f t="shared" si="360"/>
        <v>0.000114365537130497</v>
      </c>
      <c r="HM57" s="25">
        <f t="shared" si="360"/>
        <v>0.000273176731622612</v>
      </c>
      <c r="HN57" s="25">
        <f t="shared" si="360"/>
        <v>0</v>
      </c>
      <c r="HO57" s="25">
        <f t="shared" si="360"/>
        <v>0.0306470937758853</v>
      </c>
      <c r="HP57" s="25">
        <f t="shared" si="361"/>
        <v>0.00568227180112663</v>
      </c>
      <c r="HQ57" s="25">
        <f t="shared" si="361"/>
        <v>0</v>
      </c>
      <c r="HR57" s="25">
        <f t="shared" si="361"/>
        <v>0.121825823644317</v>
      </c>
      <c r="HS57" s="25">
        <f t="shared" si="361"/>
        <v>0</v>
      </c>
      <c r="HT57" s="25">
        <f t="shared" si="361"/>
        <v>0.154299773146454</v>
      </c>
      <c r="HU57" s="25">
        <f t="shared" si="361"/>
        <v>0.194992503237238</v>
      </c>
      <c r="HV57" s="25">
        <f t="shared" si="361"/>
        <v>0</v>
      </c>
      <c r="HW57" s="25">
        <f t="shared" si="361"/>
        <v>0.00197749510763209</v>
      </c>
      <c r="HX57" s="25" t="str">
        <f t="shared" si="340"/>
        <v>ELE,CHP</v>
      </c>
      <c r="HY57" s="25" t="str">
        <f t="shared" si="340"/>
        <v>???OIL_DST</v>
      </c>
      <c r="HZ57" t="s">
        <v>247</v>
      </c>
      <c r="IA57">
        <f t="shared" si="341"/>
        <v>2019</v>
      </c>
    </row>
    <row r="58" spans="1:235">
      <c r="A58">
        <v>2019</v>
      </c>
      <c r="B58" t="str">
        <f t="shared" si="342"/>
        <v>UCE_utilization_BSL_LO</v>
      </c>
      <c r="C58" t="s">
        <v>404</v>
      </c>
      <c r="D58" t="str">
        <f t="shared" si="343"/>
        <v>???BSL</v>
      </c>
      <c r="F58" s="25">
        <f t="shared" ref="F58:BQ58" si="370">ROUNDDOWN(-F10*$DP$51,2)</f>
        <v>0</v>
      </c>
      <c r="G58" s="25">
        <f t="shared" si="370"/>
        <v>0</v>
      </c>
      <c r="H58" s="25">
        <f t="shared" si="370"/>
        <v>0</v>
      </c>
      <c r="I58" s="25">
        <f t="shared" si="370"/>
        <v>0</v>
      </c>
      <c r="J58" s="25">
        <f t="shared" si="370"/>
        <v>0</v>
      </c>
      <c r="K58" s="25">
        <f t="shared" si="370"/>
        <v>-0.18</v>
      </c>
      <c r="L58" s="25">
        <f t="shared" si="370"/>
        <v>-0.59</v>
      </c>
      <c r="M58" s="25">
        <f t="shared" si="370"/>
        <v>0</v>
      </c>
      <c r="N58" s="25">
        <f t="shared" si="370"/>
        <v>0</v>
      </c>
      <c r="O58" s="25">
        <f t="shared" si="370"/>
        <v>-0.77</v>
      </c>
      <c r="P58" s="25">
        <f t="shared" si="370"/>
        <v>-0.56</v>
      </c>
      <c r="Q58" s="25">
        <f t="shared" si="370"/>
        <v>-0.1</v>
      </c>
      <c r="R58" s="25">
        <f t="shared" si="370"/>
        <v>-0.02</v>
      </c>
      <c r="S58" s="25">
        <f t="shared" si="370"/>
        <v>-0.79</v>
      </c>
      <c r="T58" s="25">
        <f t="shared" si="370"/>
        <v>0</v>
      </c>
      <c r="U58" s="25">
        <f t="shared" si="370"/>
        <v>-0.26</v>
      </c>
      <c r="V58" s="25">
        <f t="shared" si="370"/>
        <v>-0.08</v>
      </c>
      <c r="W58" s="25">
        <f t="shared" si="370"/>
        <v>0</v>
      </c>
      <c r="X58" s="25">
        <f t="shared" si="370"/>
        <v>0</v>
      </c>
      <c r="Y58" s="25">
        <f t="shared" si="370"/>
        <v>-0.79</v>
      </c>
      <c r="Z58" s="25">
        <f t="shared" si="370"/>
        <v>0</v>
      </c>
      <c r="AA58" s="25">
        <f t="shared" si="370"/>
        <v>-0.79</v>
      </c>
      <c r="AB58" s="25">
        <f t="shared" si="370"/>
        <v>-0.24</v>
      </c>
      <c r="AC58" s="25">
        <f t="shared" si="370"/>
        <v>0</v>
      </c>
      <c r="AD58" s="25">
        <f t="shared" si="370"/>
        <v>0</v>
      </c>
      <c r="AE58" s="25">
        <f t="shared" si="370"/>
        <v>-0.79</v>
      </c>
      <c r="AF58" s="25">
        <f t="shared" si="370"/>
        <v>0</v>
      </c>
      <c r="AG58" s="25">
        <f t="shared" si="370"/>
        <v>-0.31</v>
      </c>
      <c r="AH58" s="25">
        <f t="shared" si="370"/>
        <v>-0.3</v>
      </c>
      <c r="AI58" s="25">
        <f t="shared" si="370"/>
        <v>0</v>
      </c>
      <c r="AJ58" s="25">
        <f t="shared" si="370"/>
        <v>-0.7</v>
      </c>
      <c r="AK58" s="25">
        <f t="shared" si="370"/>
        <v>0</v>
      </c>
      <c r="AL58" s="25">
        <f t="shared" si="370"/>
        <v>-0.02</v>
      </c>
      <c r="AM58" s="25">
        <f t="shared" si="370"/>
        <v>-0.79</v>
      </c>
      <c r="AN58" s="25">
        <f t="shared" si="370"/>
        <v>0</v>
      </c>
      <c r="AO58" s="25">
        <f t="shared" si="370"/>
        <v>0</v>
      </c>
      <c r="AP58" s="25">
        <f t="shared" si="370"/>
        <v>0</v>
      </c>
      <c r="AQ58" s="25">
        <f t="shared" si="370"/>
        <v>0</v>
      </c>
      <c r="AR58" s="25">
        <f t="shared" si="370"/>
        <v>0</v>
      </c>
      <c r="AS58" s="25">
        <f t="shared" si="370"/>
        <v>-0.79</v>
      </c>
      <c r="AT58" s="25">
        <f t="shared" si="370"/>
        <v>0</v>
      </c>
      <c r="AU58" s="25">
        <f t="shared" si="370"/>
        <v>-0.52</v>
      </c>
      <c r="AV58" s="25">
        <f t="shared" si="370"/>
        <v>0</v>
      </c>
      <c r="AW58" s="25">
        <f t="shared" si="370"/>
        <v>-0.79</v>
      </c>
      <c r="AX58" s="25">
        <f t="shared" si="370"/>
        <v>0</v>
      </c>
      <c r="AY58" s="25">
        <f t="shared" si="370"/>
        <v>0</v>
      </c>
      <c r="AZ58" s="25">
        <f t="shared" si="370"/>
        <v>0</v>
      </c>
      <c r="BA58" s="25">
        <f t="shared" si="370"/>
        <v>0</v>
      </c>
      <c r="BB58" s="25">
        <f t="shared" si="370"/>
        <v>0</v>
      </c>
      <c r="BC58" s="25">
        <f t="shared" si="370"/>
        <v>-0.79</v>
      </c>
      <c r="BD58" s="25">
        <f t="shared" si="370"/>
        <v>0</v>
      </c>
      <c r="BE58" s="25">
        <f t="shared" si="370"/>
        <v>-0.79</v>
      </c>
      <c r="BF58" s="25">
        <f t="shared" si="370"/>
        <v>-0.79</v>
      </c>
      <c r="BG58" s="25">
        <f t="shared" si="370"/>
        <v>0</v>
      </c>
      <c r="BH58" s="25">
        <f t="shared" si="370"/>
        <v>-0.1</v>
      </c>
      <c r="BI58" s="25">
        <f t="shared" si="370"/>
        <v>0</v>
      </c>
      <c r="BJ58" s="25">
        <f t="shared" si="370"/>
        <v>0</v>
      </c>
      <c r="BK58" s="25">
        <f t="shared" si="370"/>
        <v>0</v>
      </c>
      <c r="BL58" s="25">
        <f t="shared" si="370"/>
        <v>0</v>
      </c>
      <c r="BM58" s="25">
        <f t="shared" si="370"/>
        <v>0</v>
      </c>
      <c r="BN58" s="25">
        <f t="shared" si="370"/>
        <v>0</v>
      </c>
      <c r="BO58" s="25">
        <f t="shared" si="370"/>
        <v>-0.07</v>
      </c>
      <c r="BP58" s="25">
        <f t="shared" si="370"/>
        <v>0</v>
      </c>
      <c r="BQ58" s="25">
        <f t="shared" si="370"/>
        <v>-0.64</v>
      </c>
      <c r="BR58" s="25">
        <f t="shared" ref="BR58:DJ58" si="371">ROUNDDOWN(-BR10*$DP$51,2)</f>
        <v>0</v>
      </c>
      <c r="BS58" s="25">
        <f t="shared" si="371"/>
        <v>0</v>
      </c>
      <c r="BT58" s="25">
        <f t="shared" si="371"/>
        <v>0</v>
      </c>
      <c r="BU58" s="25">
        <f t="shared" si="371"/>
        <v>-0.65</v>
      </c>
      <c r="BV58" s="25">
        <f t="shared" si="371"/>
        <v>0</v>
      </c>
      <c r="BW58" s="25">
        <f t="shared" si="371"/>
        <v>0</v>
      </c>
      <c r="BX58" s="25">
        <f t="shared" si="371"/>
        <v>-0.2</v>
      </c>
      <c r="BY58" s="25">
        <f t="shared" si="371"/>
        <v>0</v>
      </c>
      <c r="BZ58" s="25">
        <f t="shared" si="371"/>
        <v>-0.38</v>
      </c>
      <c r="CA58" s="25">
        <f t="shared" si="371"/>
        <v>0</v>
      </c>
      <c r="CB58" s="25">
        <f t="shared" si="371"/>
        <v>-0.09</v>
      </c>
      <c r="CC58" s="25">
        <f t="shared" si="371"/>
        <v>-0.26</v>
      </c>
      <c r="CD58" s="25">
        <f t="shared" si="371"/>
        <v>-0.29</v>
      </c>
      <c r="CE58" s="25">
        <f t="shared" si="371"/>
        <v>-0.77</v>
      </c>
      <c r="CF58" s="25">
        <f t="shared" si="371"/>
        <v>-0.36</v>
      </c>
      <c r="CG58" s="25">
        <f t="shared" si="371"/>
        <v>0</v>
      </c>
      <c r="CH58" s="25">
        <f t="shared" si="371"/>
        <v>-0.3</v>
      </c>
      <c r="CI58" s="25">
        <f t="shared" si="371"/>
        <v>0</v>
      </c>
      <c r="CJ58" s="25">
        <f t="shared" si="371"/>
        <v>0</v>
      </c>
      <c r="CK58" s="25">
        <f t="shared" si="371"/>
        <v>0</v>
      </c>
      <c r="CL58" s="25">
        <f t="shared" si="371"/>
        <v>-0.79</v>
      </c>
      <c r="CM58" s="25">
        <f t="shared" si="371"/>
        <v>-0.63</v>
      </c>
      <c r="CN58" s="25">
        <f t="shared" si="371"/>
        <v>-0.79</v>
      </c>
      <c r="CO58" s="25">
        <f t="shared" si="371"/>
        <v>0</v>
      </c>
      <c r="CP58" s="25">
        <f t="shared" si="371"/>
        <v>-0.79</v>
      </c>
      <c r="CQ58" s="25">
        <f t="shared" si="371"/>
        <v>-0.37</v>
      </c>
      <c r="CR58" s="25">
        <f t="shared" si="371"/>
        <v>0</v>
      </c>
      <c r="CS58" s="25">
        <f t="shared" si="371"/>
        <v>-0.32</v>
      </c>
      <c r="CT58" s="25">
        <f t="shared" si="371"/>
        <v>-0.06</v>
      </c>
      <c r="CU58" s="25">
        <f t="shared" si="371"/>
        <v>-0.01</v>
      </c>
      <c r="CV58" s="25">
        <f t="shared" si="371"/>
        <v>0</v>
      </c>
      <c r="CW58" s="25">
        <f t="shared" si="371"/>
        <v>-0.1</v>
      </c>
      <c r="CX58" s="25">
        <f t="shared" si="371"/>
        <v>0</v>
      </c>
      <c r="CY58" s="25">
        <f t="shared" si="371"/>
        <v>0</v>
      </c>
      <c r="CZ58" s="25">
        <f t="shared" si="371"/>
        <v>-0.55</v>
      </c>
      <c r="DA58" s="25">
        <f t="shared" si="371"/>
        <v>0</v>
      </c>
      <c r="DB58" s="25">
        <f t="shared" si="371"/>
        <v>0</v>
      </c>
      <c r="DC58" s="25">
        <f t="shared" si="371"/>
        <v>-0.45</v>
      </c>
      <c r="DD58" s="25">
        <f t="shared" si="371"/>
        <v>0</v>
      </c>
      <c r="DE58" s="25">
        <f t="shared" si="371"/>
        <v>-0.58</v>
      </c>
      <c r="DF58" s="25">
        <f t="shared" si="371"/>
        <v>0</v>
      </c>
      <c r="DG58" s="25">
        <f t="shared" si="371"/>
        <v>0</v>
      </c>
      <c r="DH58" s="25">
        <f t="shared" si="371"/>
        <v>-0.01</v>
      </c>
      <c r="DI58" s="25">
        <f t="shared" si="371"/>
        <v>0</v>
      </c>
      <c r="DJ58" s="25">
        <f t="shared" si="371"/>
        <v>0</v>
      </c>
      <c r="DK58" s="7">
        <f t="shared" si="358"/>
        <v>0.0317097919837646</v>
      </c>
      <c r="DL58">
        <v>0</v>
      </c>
      <c r="DM58">
        <v>5</v>
      </c>
      <c r="DS58" s="25">
        <f t="shared" si="346"/>
        <v>0</v>
      </c>
      <c r="DT58" s="25">
        <f t="shared" si="346"/>
        <v>0</v>
      </c>
      <c r="DU58" s="25">
        <f t="shared" si="346"/>
        <v>0</v>
      </c>
      <c r="DV58" s="25">
        <f t="shared" si="346"/>
        <v>0</v>
      </c>
      <c r="DW58" s="25">
        <f t="shared" si="346"/>
        <v>0</v>
      </c>
      <c r="DX58" s="25">
        <f t="shared" si="346"/>
        <v>0.0933843204600822</v>
      </c>
      <c r="DY58" s="25">
        <f t="shared" si="346"/>
        <v>0.298193913282181</v>
      </c>
      <c r="DZ58" s="25">
        <f t="shared" si="346"/>
        <v>0</v>
      </c>
      <c r="EA58" s="25">
        <f t="shared" si="346"/>
        <v>0</v>
      </c>
      <c r="EB58" s="25">
        <f t="shared" si="346"/>
        <v>0.389878234398782</v>
      </c>
      <c r="EC58" s="25">
        <f t="shared" si="347"/>
        <v>0.283119402284279</v>
      </c>
      <c r="ED58" s="25">
        <f t="shared" si="347"/>
        <v>0.0536529680365297</v>
      </c>
      <c r="EE58" s="25">
        <f t="shared" si="347"/>
        <v>0.0121565153137325</v>
      </c>
      <c r="EF58" s="25">
        <f t="shared" si="347"/>
        <v>0.3995</v>
      </c>
      <c r="EG58" s="25">
        <f t="shared" si="347"/>
        <v>0</v>
      </c>
      <c r="EH58" s="25">
        <f t="shared" si="347"/>
        <v>0.134718960018076</v>
      </c>
      <c r="EI58" s="25">
        <f t="shared" si="347"/>
        <v>0.040712932728045</v>
      </c>
      <c r="EJ58" s="25">
        <f t="shared" si="347"/>
        <v>0</v>
      </c>
      <c r="EK58" s="25">
        <f t="shared" si="347"/>
        <v>0</v>
      </c>
      <c r="EL58" s="25">
        <f t="shared" si="347"/>
        <v>0.3995</v>
      </c>
      <c r="EM58" s="25">
        <f t="shared" si="348"/>
        <v>0</v>
      </c>
      <c r="EN58" s="25">
        <f t="shared" si="348"/>
        <v>0.3995</v>
      </c>
      <c r="EO58" s="25">
        <f t="shared" si="348"/>
        <v>0.121768088252718</v>
      </c>
      <c r="EP58" s="25">
        <f t="shared" si="348"/>
        <v>0</v>
      </c>
      <c r="EQ58" s="25">
        <f t="shared" si="348"/>
        <v>0</v>
      </c>
      <c r="ER58" s="25">
        <f t="shared" si="348"/>
        <v>0.3995</v>
      </c>
      <c r="ES58" s="25">
        <f t="shared" si="348"/>
        <v>0</v>
      </c>
      <c r="ET58" s="25">
        <f t="shared" si="348"/>
        <v>0.159657175472929</v>
      </c>
      <c r="EU58" s="25">
        <f t="shared" si="348"/>
        <v>0.153919781029473</v>
      </c>
      <c r="EV58" s="25">
        <f t="shared" si="348"/>
        <v>0</v>
      </c>
      <c r="EW58" s="25">
        <f t="shared" si="349"/>
        <v>0.352805444402255</v>
      </c>
      <c r="EX58" s="25">
        <f t="shared" si="349"/>
        <v>0</v>
      </c>
      <c r="EY58" s="25">
        <f t="shared" si="349"/>
        <v>0.0149557648401826</v>
      </c>
      <c r="EZ58" s="25">
        <f t="shared" si="349"/>
        <v>0.3995</v>
      </c>
      <c r="FA58" s="25">
        <f t="shared" si="349"/>
        <v>0</v>
      </c>
      <c r="FB58" s="25">
        <f t="shared" si="349"/>
        <v>0</v>
      </c>
      <c r="FC58" s="25">
        <f t="shared" si="349"/>
        <v>0</v>
      </c>
      <c r="FD58" s="25">
        <f t="shared" si="349"/>
        <v>0</v>
      </c>
      <c r="FE58" s="25">
        <f t="shared" si="349"/>
        <v>0</v>
      </c>
      <c r="FF58" s="25">
        <f t="shared" si="349"/>
        <v>0.3995</v>
      </c>
      <c r="FG58" s="25">
        <f t="shared" si="350"/>
        <v>0</v>
      </c>
      <c r="FH58" s="25">
        <f t="shared" si="350"/>
        <v>0.263422517362573</v>
      </c>
      <c r="FI58" s="25">
        <f t="shared" si="350"/>
        <v>0</v>
      </c>
      <c r="FJ58" s="25">
        <f t="shared" si="350"/>
        <v>0.3995</v>
      </c>
      <c r="FK58" s="25">
        <f t="shared" si="350"/>
        <v>0</v>
      </c>
      <c r="FL58" s="25">
        <f t="shared" si="350"/>
        <v>0</v>
      </c>
      <c r="FM58" s="25">
        <f t="shared" si="350"/>
        <v>0</v>
      </c>
      <c r="FN58" s="25">
        <f t="shared" si="350"/>
        <v>0</v>
      </c>
      <c r="FO58" s="25">
        <f t="shared" si="350"/>
        <v>0</v>
      </c>
      <c r="FP58" s="25">
        <f t="shared" si="350"/>
        <v>0.3995</v>
      </c>
      <c r="FQ58" s="25">
        <f t="shared" si="351"/>
        <v>0</v>
      </c>
      <c r="FR58" s="25">
        <f t="shared" si="351"/>
        <v>0.3995</v>
      </c>
      <c r="FS58" s="25">
        <f t="shared" si="351"/>
        <v>0.3995</v>
      </c>
      <c r="FT58" s="25">
        <f t="shared" si="351"/>
        <v>0</v>
      </c>
      <c r="FU58" s="25">
        <f t="shared" si="351"/>
        <v>0.0501953862683113</v>
      </c>
      <c r="FV58" s="25">
        <f t="shared" si="351"/>
        <v>0</v>
      </c>
      <c r="FW58" s="25">
        <f t="shared" si="351"/>
        <v>0</v>
      </c>
      <c r="FX58" s="25">
        <f t="shared" si="351"/>
        <v>0</v>
      </c>
      <c r="FY58" s="25">
        <f t="shared" si="351"/>
        <v>0</v>
      </c>
      <c r="FZ58" s="25">
        <f t="shared" si="351"/>
        <v>0</v>
      </c>
      <c r="GA58" s="25">
        <f t="shared" si="352"/>
        <v>0</v>
      </c>
      <c r="GB58" s="25">
        <f t="shared" si="352"/>
        <v>0.0357328767123288</v>
      </c>
      <c r="GC58" s="25">
        <f t="shared" si="352"/>
        <v>0</v>
      </c>
      <c r="GD58" s="25">
        <f t="shared" si="352"/>
        <v>0.323785750837888</v>
      </c>
      <c r="GE58" s="25">
        <f t="shared" si="352"/>
        <v>0</v>
      </c>
      <c r="GF58" s="25">
        <f t="shared" si="352"/>
        <v>0</v>
      </c>
      <c r="GG58" s="25">
        <f t="shared" si="352"/>
        <v>0</v>
      </c>
      <c r="GH58" s="25">
        <f t="shared" si="352"/>
        <v>0.329420911312625</v>
      </c>
      <c r="GI58" s="25">
        <f t="shared" si="352"/>
        <v>0</v>
      </c>
      <c r="GJ58" s="25">
        <f t="shared" si="352"/>
        <v>0</v>
      </c>
      <c r="GK58" s="25">
        <f t="shared" si="353"/>
        <v>0.103143615459883</v>
      </c>
      <c r="GL58" s="25">
        <f t="shared" si="353"/>
        <v>0</v>
      </c>
      <c r="GM58" s="25">
        <f t="shared" si="353"/>
        <v>0.190783146408421</v>
      </c>
      <c r="GN58" s="25">
        <f t="shared" si="353"/>
        <v>0</v>
      </c>
      <c r="GO58" s="25">
        <f t="shared" si="353"/>
        <v>0.045244667075581</v>
      </c>
      <c r="GP58" s="25">
        <f t="shared" si="353"/>
        <v>0.131794215552999</v>
      </c>
      <c r="GQ58" s="25">
        <f t="shared" si="353"/>
        <v>0.148450770547945</v>
      </c>
      <c r="GR58" s="25">
        <f t="shared" si="353"/>
        <v>0.387770160509202</v>
      </c>
      <c r="GS58" s="25">
        <f t="shared" si="353"/>
        <v>0.181829528158295</v>
      </c>
      <c r="GT58" s="25">
        <f t="shared" si="353"/>
        <v>0</v>
      </c>
      <c r="GU58" s="25">
        <f t="shared" si="354"/>
        <v>0.152303322880563</v>
      </c>
      <c r="GV58" s="25">
        <f t="shared" si="359"/>
        <v>0</v>
      </c>
      <c r="GW58" s="25">
        <f t="shared" si="359"/>
        <v>0</v>
      </c>
      <c r="GX58" s="25">
        <f t="shared" si="359"/>
        <v>5.36529680365297e-5</v>
      </c>
      <c r="GY58" s="25">
        <f t="shared" si="359"/>
        <v>0.3995</v>
      </c>
      <c r="GZ58" s="25">
        <f t="shared" si="359"/>
        <v>0.316484596266112</v>
      </c>
      <c r="HA58" s="25">
        <f t="shared" si="359"/>
        <v>0.399383751902588</v>
      </c>
      <c r="HB58" s="25">
        <f t="shared" si="359"/>
        <v>0</v>
      </c>
      <c r="HC58" s="25">
        <f t="shared" si="359"/>
        <v>0.3995</v>
      </c>
      <c r="HD58" s="25">
        <f t="shared" si="359"/>
        <v>0.18589915097032</v>
      </c>
      <c r="HE58" s="25">
        <f t="shared" si="359"/>
        <v>0</v>
      </c>
      <c r="HF58" s="25">
        <f t="shared" si="360"/>
        <v>0.163153620114005</v>
      </c>
      <c r="HG58" s="25">
        <f t="shared" si="360"/>
        <v>0.0320194828884809</v>
      </c>
      <c r="HH58" s="25">
        <f t="shared" si="360"/>
        <v>0.00831906294790761</v>
      </c>
      <c r="HI58" s="25">
        <f t="shared" si="360"/>
        <v>0</v>
      </c>
      <c r="HJ58" s="25">
        <f t="shared" si="360"/>
        <v>0.0548878246289954</v>
      </c>
      <c r="HK58" s="25">
        <f t="shared" si="360"/>
        <v>0</v>
      </c>
      <c r="HL58" s="25">
        <f t="shared" si="360"/>
        <v>0</v>
      </c>
      <c r="HM58" s="25">
        <f t="shared" si="360"/>
        <v>0.278419670376712</v>
      </c>
      <c r="HN58" s="25">
        <f t="shared" si="360"/>
        <v>0</v>
      </c>
      <c r="HO58" s="25">
        <f t="shared" si="360"/>
        <v>0</v>
      </c>
      <c r="HP58" s="25">
        <f t="shared" si="361"/>
        <v>0.227845649225473</v>
      </c>
      <c r="HQ58" s="25">
        <f t="shared" si="361"/>
        <v>0</v>
      </c>
      <c r="HR58" s="25">
        <f t="shared" si="361"/>
        <v>0.294624784724527</v>
      </c>
      <c r="HS58" s="25">
        <f t="shared" si="361"/>
        <v>0</v>
      </c>
      <c r="HT58" s="25">
        <f t="shared" si="361"/>
        <v>0</v>
      </c>
      <c r="HU58" s="25">
        <f t="shared" si="361"/>
        <v>0.00784923050904786</v>
      </c>
      <c r="HV58" s="25">
        <f t="shared" si="361"/>
        <v>0</v>
      </c>
      <c r="HW58" s="25">
        <f t="shared" si="361"/>
        <v>0</v>
      </c>
      <c r="HX58" s="25" t="str">
        <f t="shared" si="340"/>
        <v>ELE,CHP</v>
      </c>
      <c r="HY58" s="25" t="str">
        <f t="shared" si="340"/>
        <v>???BSL</v>
      </c>
      <c r="HZ58" t="s">
        <v>247</v>
      </c>
      <c r="IA58">
        <f t="shared" si="341"/>
        <v>2019</v>
      </c>
    </row>
    <row r="61" spans="2:123">
      <c r="B61" s="22" t="s">
        <v>482</v>
      </c>
      <c r="E61" s="22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S61" t="s">
        <v>483</v>
      </c>
    </row>
    <row r="62" spans="1:235">
      <c r="A62" s="25" t="s">
        <v>57</v>
      </c>
      <c r="B62" t="s">
        <v>4</v>
      </c>
      <c r="C62" t="s">
        <v>92</v>
      </c>
      <c r="D62" t="s">
        <v>265</v>
      </c>
      <c r="E62" t="s">
        <v>277</v>
      </c>
      <c r="F62" s="25" t="str">
        <f>F51</f>
        <v>Albania</v>
      </c>
      <c r="G62" s="25" t="str">
        <f t="shared" ref="G62:BR62" si="372">G51</f>
        <v>Algeria</v>
      </c>
      <c r="H62" s="25" t="str">
        <f t="shared" si="372"/>
        <v>Angola</v>
      </c>
      <c r="I62" s="25" t="str">
        <f t="shared" si="372"/>
        <v>Argentina</v>
      </c>
      <c r="J62" s="25" t="str">
        <f t="shared" si="372"/>
        <v>Armenia</v>
      </c>
      <c r="K62" s="25" t="str">
        <f t="shared" si="372"/>
        <v>Australia</v>
      </c>
      <c r="L62" s="25" t="str">
        <f t="shared" si="372"/>
        <v>Austria</v>
      </c>
      <c r="M62" s="25" t="str">
        <f t="shared" si="372"/>
        <v>Azerbaijan</v>
      </c>
      <c r="N62" s="25" t="str">
        <f t="shared" si="372"/>
        <v>Bangladesh</v>
      </c>
      <c r="O62" s="25" t="str">
        <f t="shared" si="372"/>
        <v>Belarus</v>
      </c>
      <c r="P62" s="25" t="str">
        <f t="shared" si="372"/>
        <v>Belgium</v>
      </c>
      <c r="Q62" s="25" t="str">
        <f t="shared" si="372"/>
        <v>Bosnia_Herz</v>
      </c>
      <c r="R62" s="25" t="str">
        <f t="shared" si="372"/>
        <v>Brazil</v>
      </c>
      <c r="S62" s="25" t="str">
        <f t="shared" si="372"/>
        <v>Bulgaria</v>
      </c>
      <c r="T62" s="25" t="str">
        <f t="shared" si="372"/>
        <v>Cameroon</v>
      </c>
      <c r="U62" s="25" t="str">
        <f t="shared" si="372"/>
        <v>Canada</v>
      </c>
      <c r="V62" s="25" t="str">
        <f t="shared" si="372"/>
        <v>Chile</v>
      </c>
      <c r="W62" s="25" t="str">
        <f t="shared" si="372"/>
        <v>China</v>
      </c>
      <c r="X62" s="25" t="str">
        <f t="shared" si="372"/>
        <v>Colombia</v>
      </c>
      <c r="Y62" s="25" t="str">
        <f t="shared" si="372"/>
        <v>Croatia</v>
      </c>
      <c r="Z62" s="25" t="str">
        <f t="shared" si="372"/>
        <v>Cyprus</v>
      </c>
      <c r="AA62" s="25" t="str">
        <f t="shared" si="372"/>
        <v>Czech</v>
      </c>
      <c r="AB62" s="25" t="str">
        <f t="shared" si="372"/>
        <v>Denmark</v>
      </c>
      <c r="AC62" s="25" t="str">
        <f t="shared" si="372"/>
        <v>DR_Congo</v>
      </c>
      <c r="AD62" s="25" t="str">
        <f t="shared" si="372"/>
        <v>Egypt</v>
      </c>
      <c r="AE62" s="25" t="str">
        <f t="shared" si="372"/>
        <v>Estonia</v>
      </c>
      <c r="AF62" s="25" t="str">
        <f t="shared" si="372"/>
        <v>Ethiopia</v>
      </c>
      <c r="AG62" s="25" t="str">
        <f t="shared" si="372"/>
        <v>Finland</v>
      </c>
      <c r="AH62" s="25" t="str">
        <f t="shared" si="372"/>
        <v>France</v>
      </c>
      <c r="AI62" s="25" t="str">
        <f t="shared" si="372"/>
        <v>Georgia</v>
      </c>
      <c r="AJ62" s="25" t="str">
        <f t="shared" si="372"/>
        <v>Germany</v>
      </c>
      <c r="AK62" s="25" t="str">
        <f t="shared" si="372"/>
        <v>Ghana</v>
      </c>
      <c r="AL62" s="25" t="str">
        <f t="shared" si="372"/>
        <v>Greece</v>
      </c>
      <c r="AM62" s="25" t="str">
        <f t="shared" si="372"/>
        <v>Hungary</v>
      </c>
      <c r="AN62" s="25" t="str">
        <f t="shared" si="372"/>
        <v>Iceland</v>
      </c>
      <c r="AO62" s="25" t="str">
        <f t="shared" si="372"/>
        <v>India</v>
      </c>
      <c r="AP62" s="25" t="str">
        <f t="shared" si="372"/>
        <v>Indonesia</v>
      </c>
      <c r="AQ62" s="25" t="str">
        <f t="shared" si="372"/>
        <v>Iran</v>
      </c>
      <c r="AR62" s="25" t="str">
        <f t="shared" si="372"/>
        <v>Iraq</v>
      </c>
      <c r="AS62" s="25" t="str">
        <f t="shared" si="372"/>
        <v>Ireland</v>
      </c>
      <c r="AT62" s="25" t="str">
        <f t="shared" si="372"/>
        <v>Israel</v>
      </c>
      <c r="AU62" s="25" t="str">
        <f t="shared" si="372"/>
        <v>Italy</v>
      </c>
      <c r="AV62" s="25" t="str">
        <f t="shared" si="372"/>
        <v>IvoryCoast</v>
      </c>
      <c r="AW62" s="25" t="str">
        <f t="shared" si="372"/>
        <v>Japan</v>
      </c>
      <c r="AX62" s="25" t="str">
        <f t="shared" si="372"/>
        <v>Kazakhstan</v>
      </c>
      <c r="AY62" s="25" t="str">
        <f t="shared" si="372"/>
        <v>Kenya</v>
      </c>
      <c r="AZ62" s="25" t="str">
        <f t="shared" si="372"/>
        <v>Kosovo</v>
      </c>
      <c r="BA62" s="25" t="str">
        <f t="shared" si="372"/>
        <v>Kuwait</v>
      </c>
      <c r="BB62" s="25" t="str">
        <f t="shared" si="372"/>
        <v>Kyrgyzstan</v>
      </c>
      <c r="BC62" s="25" t="str">
        <f t="shared" si="372"/>
        <v>Latvia</v>
      </c>
      <c r="BD62" s="25" t="str">
        <f t="shared" si="372"/>
        <v>Libya</v>
      </c>
      <c r="BE62" s="25" t="str">
        <f t="shared" si="372"/>
        <v>Lithuania</v>
      </c>
      <c r="BF62" s="25" t="str">
        <f t="shared" si="372"/>
        <v>Luxembourg</v>
      </c>
      <c r="BG62" s="25" t="str">
        <f t="shared" si="372"/>
        <v>Macedonia</v>
      </c>
      <c r="BH62" s="25" t="str">
        <f t="shared" si="372"/>
        <v>Malaysia</v>
      </c>
      <c r="BI62" s="25" t="str">
        <f t="shared" si="372"/>
        <v>Malta</v>
      </c>
      <c r="BJ62" s="25" t="str">
        <f t="shared" si="372"/>
        <v>Mexico</v>
      </c>
      <c r="BK62" s="25" t="str">
        <f t="shared" si="372"/>
        <v>Moldova</v>
      </c>
      <c r="BL62" s="25" t="str">
        <f t="shared" si="372"/>
        <v>Montenegro</v>
      </c>
      <c r="BM62" s="25" t="str">
        <f t="shared" si="372"/>
        <v>Morocco</v>
      </c>
      <c r="BN62" s="25" t="str">
        <f t="shared" si="372"/>
        <v>Mozambique</v>
      </c>
      <c r="BO62" s="25" t="str">
        <f t="shared" si="372"/>
        <v>Myanmar</v>
      </c>
      <c r="BP62" s="25" t="str">
        <f t="shared" si="372"/>
        <v>Nepal</v>
      </c>
      <c r="BQ62" s="25" t="str">
        <f t="shared" si="372"/>
        <v>Netherlands</v>
      </c>
      <c r="BR62" s="25" t="str">
        <f t="shared" si="372"/>
        <v>NewZealand</v>
      </c>
      <c r="BS62" s="25" t="str">
        <f t="shared" ref="BS62:DJ62" si="373">BS51</f>
        <v>Niger</v>
      </c>
      <c r="BT62" s="25" t="str">
        <f t="shared" si="373"/>
        <v>Nigeria</v>
      </c>
      <c r="BU62" s="25" t="str">
        <f t="shared" si="373"/>
        <v>Norway</v>
      </c>
      <c r="BV62" s="25" t="str">
        <f t="shared" si="373"/>
        <v>Oman</v>
      </c>
      <c r="BW62" s="25" t="str">
        <f t="shared" si="373"/>
        <v>Other_Africa</v>
      </c>
      <c r="BX62" s="25" t="str">
        <f t="shared" si="373"/>
        <v>Other_AsiaEm</v>
      </c>
      <c r="BY62" s="25" t="str">
        <f t="shared" si="373"/>
        <v>Other_EurDev</v>
      </c>
      <c r="BZ62" s="25" t="str">
        <f t="shared" si="373"/>
        <v>Other_LatAm</v>
      </c>
      <c r="CA62" s="25" t="str">
        <f t="shared" si="373"/>
        <v>Other_MidEast</v>
      </c>
      <c r="CB62" s="25" t="str">
        <f t="shared" si="373"/>
        <v>Pakistan</v>
      </c>
      <c r="CC62" s="25" t="str">
        <f t="shared" si="373"/>
        <v>Peru</v>
      </c>
      <c r="CD62" s="25" t="str">
        <f t="shared" si="373"/>
        <v>Philippines</v>
      </c>
      <c r="CE62" s="25" t="str">
        <f t="shared" si="373"/>
        <v>Poland</v>
      </c>
      <c r="CF62" s="25" t="str">
        <f t="shared" si="373"/>
        <v>Portugal</v>
      </c>
      <c r="CG62" s="25" t="str">
        <f t="shared" si="373"/>
        <v>Qatar</v>
      </c>
      <c r="CH62" s="25" t="str">
        <f t="shared" si="373"/>
        <v>Romania</v>
      </c>
      <c r="CI62" s="25" t="str">
        <f t="shared" si="373"/>
        <v>Russia</v>
      </c>
      <c r="CJ62" s="25" t="str">
        <f t="shared" si="373"/>
        <v>SaudiArabia</v>
      </c>
      <c r="CK62" s="25" t="str">
        <f t="shared" si="373"/>
        <v>Serbia</v>
      </c>
      <c r="CL62" s="25" t="str">
        <f t="shared" si="373"/>
        <v>Singapore</v>
      </c>
      <c r="CM62" s="25" t="str">
        <f t="shared" si="373"/>
        <v>Slovak</v>
      </c>
      <c r="CN62" s="25" t="str">
        <f t="shared" si="373"/>
        <v>Slovenia</v>
      </c>
      <c r="CO62" s="25" t="str">
        <f t="shared" si="373"/>
        <v>SouthAfrica</v>
      </c>
      <c r="CP62" s="25" t="str">
        <f t="shared" si="373"/>
        <v>SouthKorea</v>
      </c>
      <c r="CQ62" s="25" t="str">
        <f t="shared" si="373"/>
        <v>Spain</v>
      </c>
      <c r="CR62" s="25" t="str">
        <f t="shared" si="373"/>
        <v>Sudan</v>
      </c>
      <c r="CS62" s="25" t="str">
        <f t="shared" si="373"/>
        <v>Sweden</v>
      </c>
      <c r="CT62" s="25" t="str">
        <f t="shared" si="373"/>
        <v>Switzerland</v>
      </c>
      <c r="CU62" s="25" t="str">
        <f t="shared" si="373"/>
        <v>Taiwan</v>
      </c>
      <c r="CV62" s="25" t="str">
        <f t="shared" si="373"/>
        <v>Tajikistan</v>
      </c>
      <c r="CW62" s="25" t="str">
        <f t="shared" si="373"/>
        <v>Tanzania</v>
      </c>
      <c r="CX62" s="25" t="str">
        <f t="shared" si="373"/>
        <v>Thailand</v>
      </c>
      <c r="CY62" s="25" t="str">
        <f t="shared" si="373"/>
        <v>Tunisia</v>
      </c>
      <c r="CZ62" s="25" t="str">
        <f t="shared" si="373"/>
        <v>Turkey</v>
      </c>
      <c r="DA62" s="25" t="str">
        <f t="shared" si="373"/>
        <v>Turkmenistan</v>
      </c>
      <c r="DB62" s="25" t="str">
        <f t="shared" si="373"/>
        <v>UAE</v>
      </c>
      <c r="DC62" s="25" t="str">
        <f t="shared" si="373"/>
        <v>UK</v>
      </c>
      <c r="DD62" s="25" t="str">
        <f t="shared" si="373"/>
        <v>Ukraine</v>
      </c>
      <c r="DE62" s="25" t="str">
        <f t="shared" si="373"/>
        <v>USA</v>
      </c>
      <c r="DF62" s="25" t="str">
        <f t="shared" si="373"/>
        <v>Uzbekistan</v>
      </c>
      <c r="DG62" s="25" t="str">
        <f t="shared" si="373"/>
        <v>Venezuela</v>
      </c>
      <c r="DH62" s="25" t="str">
        <f t="shared" si="373"/>
        <v>Vietnam</v>
      </c>
      <c r="DI62" s="25" t="str">
        <f t="shared" si="373"/>
        <v>Yemen</v>
      </c>
      <c r="DJ62" s="25" t="str">
        <f t="shared" si="373"/>
        <v>Zambia</v>
      </c>
      <c r="DK62" s="25" t="s">
        <v>467</v>
      </c>
      <c r="DL62" s="25" t="s">
        <v>402</v>
      </c>
      <c r="DM62" s="25" t="s">
        <v>42</v>
      </c>
      <c r="DP62" s="17">
        <v>0.25</v>
      </c>
      <c r="DQ62" s="17"/>
      <c r="DS62" s="25" t="str">
        <f>F62</f>
        <v>Albania</v>
      </c>
      <c r="DT62" s="25" t="str">
        <f t="shared" ref="DT62" si="374">G62</f>
        <v>Algeria</v>
      </c>
      <c r="DU62" s="25" t="str">
        <f t="shared" ref="DU62" si="375">H62</f>
        <v>Angola</v>
      </c>
      <c r="DV62" s="25" t="str">
        <f t="shared" ref="DV62" si="376">I62</f>
        <v>Argentina</v>
      </c>
      <c r="DW62" s="25" t="str">
        <f t="shared" ref="DW62" si="377">J62</f>
        <v>Armenia</v>
      </c>
      <c r="DX62" s="25" t="str">
        <f t="shared" ref="DX62" si="378">K62</f>
        <v>Australia</v>
      </c>
      <c r="DY62" s="25" t="str">
        <f t="shared" ref="DY62" si="379">L62</f>
        <v>Austria</v>
      </c>
      <c r="DZ62" s="25" t="str">
        <f t="shared" ref="DZ62" si="380">M62</f>
        <v>Azerbaijan</v>
      </c>
      <c r="EA62" s="25" t="str">
        <f t="shared" ref="EA62" si="381">N62</f>
        <v>Bangladesh</v>
      </c>
      <c r="EB62" s="25" t="str">
        <f t="shared" ref="EB62" si="382">O62</f>
        <v>Belarus</v>
      </c>
      <c r="EC62" s="25" t="str">
        <f t="shared" ref="EC62" si="383">P62</f>
        <v>Belgium</v>
      </c>
      <c r="ED62" s="25" t="str">
        <f t="shared" ref="ED62" si="384">Q62</f>
        <v>Bosnia_Herz</v>
      </c>
      <c r="EE62" s="25" t="str">
        <f t="shared" ref="EE62" si="385">R62</f>
        <v>Brazil</v>
      </c>
      <c r="EF62" s="25" t="str">
        <f t="shared" ref="EF62" si="386">S62</f>
        <v>Bulgaria</v>
      </c>
      <c r="EG62" s="25" t="str">
        <f t="shared" ref="EG62" si="387">T62</f>
        <v>Cameroon</v>
      </c>
      <c r="EH62" s="25" t="str">
        <f t="shared" ref="EH62" si="388">U62</f>
        <v>Canada</v>
      </c>
      <c r="EI62" s="25" t="str">
        <f t="shared" ref="EI62" si="389">V62</f>
        <v>Chile</v>
      </c>
      <c r="EJ62" s="25" t="str">
        <f t="shared" ref="EJ62" si="390">W62</f>
        <v>China</v>
      </c>
      <c r="EK62" s="25" t="str">
        <f t="shared" ref="EK62" si="391">X62</f>
        <v>Colombia</v>
      </c>
      <c r="EL62" s="25" t="str">
        <f t="shared" ref="EL62" si="392">Y62</f>
        <v>Croatia</v>
      </c>
      <c r="EM62" s="25" t="str">
        <f t="shared" ref="EM62" si="393">Z62</f>
        <v>Cyprus</v>
      </c>
      <c r="EN62" s="25" t="str">
        <f t="shared" ref="EN62" si="394">AA62</f>
        <v>Czech</v>
      </c>
      <c r="EO62" s="25" t="str">
        <f t="shared" ref="EO62" si="395">AB62</f>
        <v>Denmark</v>
      </c>
      <c r="EP62" s="25" t="str">
        <f t="shared" ref="EP62" si="396">AC62</f>
        <v>DR_Congo</v>
      </c>
      <c r="EQ62" s="25" t="str">
        <f t="shared" ref="EQ62" si="397">AD62</f>
        <v>Egypt</v>
      </c>
      <c r="ER62" s="25" t="str">
        <f t="shared" ref="ER62" si="398">AE62</f>
        <v>Estonia</v>
      </c>
      <c r="ES62" s="25" t="str">
        <f t="shared" ref="ES62" si="399">AF62</f>
        <v>Ethiopia</v>
      </c>
      <c r="ET62" s="25" t="str">
        <f t="shared" ref="ET62" si="400">AG62</f>
        <v>Finland</v>
      </c>
      <c r="EU62" s="25" t="str">
        <f t="shared" ref="EU62" si="401">AH62</f>
        <v>France</v>
      </c>
      <c r="EV62" s="25" t="str">
        <f t="shared" ref="EV62" si="402">AI62</f>
        <v>Georgia</v>
      </c>
      <c r="EW62" s="25" t="str">
        <f t="shared" ref="EW62" si="403">AJ62</f>
        <v>Germany</v>
      </c>
      <c r="EX62" s="25" t="str">
        <f t="shared" ref="EX62" si="404">AK62</f>
        <v>Ghana</v>
      </c>
      <c r="EY62" s="25" t="str">
        <f t="shared" ref="EY62" si="405">AL62</f>
        <v>Greece</v>
      </c>
      <c r="EZ62" s="25" t="str">
        <f t="shared" ref="EZ62" si="406">AM62</f>
        <v>Hungary</v>
      </c>
      <c r="FA62" s="25" t="str">
        <f t="shared" ref="FA62" si="407">AN62</f>
        <v>Iceland</v>
      </c>
      <c r="FB62" s="25" t="str">
        <f t="shared" ref="FB62" si="408">AO62</f>
        <v>India</v>
      </c>
      <c r="FC62" s="25" t="str">
        <f t="shared" ref="FC62" si="409">AP62</f>
        <v>Indonesia</v>
      </c>
      <c r="FD62" s="25" t="str">
        <f t="shared" ref="FD62" si="410">AQ62</f>
        <v>Iran</v>
      </c>
      <c r="FE62" s="25" t="str">
        <f t="shared" ref="FE62" si="411">AR62</f>
        <v>Iraq</v>
      </c>
      <c r="FF62" s="25" t="str">
        <f t="shared" ref="FF62" si="412">AS62</f>
        <v>Ireland</v>
      </c>
      <c r="FG62" s="25" t="str">
        <f t="shared" ref="FG62" si="413">AT62</f>
        <v>Israel</v>
      </c>
      <c r="FH62" s="25" t="str">
        <f t="shared" ref="FH62" si="414">AU62</f>
        <v>Italy</v>
      </c>
      <c r="FI62" s="25" t="str">
        <f t="shared" ref="FI62" si="415">AV62</f>
        <v>IvoryCoast</v>
      </c>
      <c r="FJ62" s="25" t="str">
        <f t="shared" ref="FJ62" si="416">AW62</f>
        <v>Japan</v>
      </c>
      <c r="FK62" s="25" t="str">
        <f t="shared" ref="FK62" si="417">AX62</f>
        <v>Kazakhstan</v>
      </c>
      <c r="FL62" s="25" t="str">
        <f t="shared" ref="FL62" si="418">AY62</f>
        <v>Kenya</v>
      </c>
      <c r="FM62" s="25" t="str">
        <f t="shared" ref="FM62" si="419">AZ62</f>
        <v>Kosovo</v>
      </c>
      <c r="FN62" s="25" t="str">
        <f t="shared" ref="FN62" si="420">BA62</f>
        <v>Kuwait</v>
      </c>
      <c r="FO62" s="25" t="str">
        <f t="shared" ref="FO62" si="421">BB62</f>
        <v>Kyrgyzstan</v>
      </c>
      <c r="FP62" s="25" t="str">
        <f t="shared" ref="FP62" si="422">BC62</f>
        <v>Latvia</v>
      </c>
      <c r="FQ62" s="25" t="str">
        <f t="shared" ref="FQ62" si="423">BD62</f>
        <v>Libya</v>
      </c>
      <c r="FR62" s="25" t="str">
        <f t="shared" ref="FR62" si="424">BE62</f>
        <v>Lithuania</v>
      </c>
      <c r="FS62" s="25" t="str">
        <f t="shared" ref="FS62" si="425">BF62</f>
        <v>Luxembourg</v>
      </c>
      <c r="FT62" s="25" t="str">
        <f t="shared" ref="FT62" si="426">BG62</f>
        <v>Macedonia</v>
      </c>
      <c r="FU62" s="25" t="str">
        <f t="shared" ref="FU62" si="427">BH62</f>
        <v>Malaysia</v>
      </c>
      <c r="FV62" s="25" t="str">
        <f t="shared" ref="FV62" si="428">BI62</f>
        <v>Malta</v>
      </c>
      <c r="FW62" s="25" t="str">
        <f t="shared" ref="FW62" si="429">BJ62</f>
        <v>Mexico</v>
      </c>
      <c r="FX62" s="25" t="str">
        <f t="shared" ref="FX62" si="430">BK62</f>
        <v>Moldova</v>
      </c>
      <c r="FY62" s="25" t="str">
        <f t="shared" ref="FY62" si="431">BL62</f>
        <v>Montenegro</v>
      </c>
      <c r="FZ62" s="25" t="str">
        <f t="shared" ref="FZ62" si="432">BM62</f>
        <v>Morocco</v>
      </c>
      <c r="GA62" s="25" t="str">
        <f t="shared" ref="GA62" si="433">BN62</f>
        <v>Mozambique</v>
      </c>
      <c r="GB62" s="25" t="str">
        <f t="shared" ref="GB62" si="434">BO62</f>
        <v>Myanmar</v>
      </c>
      <c r="GC62" s="25" t="str">
        <f t="shared" ref="GC62" si="435">BP62</f>
        <v>Nepal</v>
      </c>
      <c r="GD62" s="25" t="str">
        <f t="shared" ref="GD62" si="436">BQ62</f>
        <v>Netherlands</v>
      </c>
      <c r="GE62" s="25" t="str">
        <f t="shared" ref="GE62:GU62" si="437">BR62</f>
        <v>NewZealand</v>
      </c>
      <c r="GF62" s="25" t="str">
        <f t="shared" si="437"/>
        <v>Niger</v>
      </c>
      <c r="GG62" s="25" t="str">
        <f t="shared" si="437"/>
        <v>Nigeria</v>
      </c>
      <c r="GH62" s="25" t="str">
        <f t="shared" si="437"/>
        <v>Norway</v>
      </c>
      <c r="GI62" s="25" t="str">
        <f t="shared" si="437"/>
        <v>Oman</v>
      </c>
      <c r="GJ62" s="25" t="str">
        <f t="shared" si="437"/>
        <v>Other_Africa</v>
      </c>
      <c r="GK62" s="25" t="str">
        <f t="shared" si="437"/>
        <v>Other_AsiaEm</v>
      </c>
      <c r="GL62" s="25" t="str">
        <f t="shared" si="437"/>
        <v>Other_EurDev</v>
      </c>
      <c r="GM62" s="25" t="str">
        <f t="shared" si="437"/>
        <v>Other_LatAm</v>
      </c>
      <c r="GN62" s="25" t="str">
        <f t="shared" si="437"/>
        <v>Other_MidEast</v>
      </c>
      <c r="GO62" s="25" t="str">
        <f t="shared" si="437"/>
        <v>Pakistan</v>
      </c>
      <c r="GP62" s="25" t="str">
        <f t="shared" si="437"/>
        <v>Peru</v>
      </c>
      <c r="GQ62" s="25" t="str">
        <f t="shared" si="437"/>
        <v>Philippines</v>
      </c>
      <c r="GR62" s="25" t="str">
        <f t="shared" si="437"/>
        <v>Poland</v>
      </c>
      <c r="GS62" s="25" t="str">
        <f t="shared" si="437"/>
        <v>Portugal</v>
      </c>
      <c r="GT62" s="25" t="str">
        <f t="shared" si="437"/>
        <v>Qatar</v>
      </c>
      <c r="GU62" s="25" t="str">
        <f t="shared" si="437"/>
        <v>Romania</v>
      </c>
      <c r="GV62" s="25" t="str">
        <f t="shared" ref="GV62" si="438">CI62</f>
        <v>Russia</v>
      </c>
      <c r="GW62" s="25" t="str">
        <f t="shared" ref="GW62" si="439">CJ62</f>
        <v>SaudiArabia</v>
      </c>
      <c r="GX62" s="25" t="str">
        <f t="shared" ref="GX62" si="440">CK62</f>
        <v>Serbia</v>
      </c>
      <c r="GY62" s="25" t="str">
        <f t="shared" ref="GY62" si="441">CL62</f>
        <v>Singapore</v>
      </c>
      <c r="GZ62" s="25" t="str">
        <f t="shared" ref="GZ62" si="442">CM62</f>
        <v>Slovak</v>
      </c>
      <c r="HA62" s="25" t="str">
        <f t="shared" ref="HA62" si="443">CN62</f>
        <v>Slovenia</v>
      </c>
      <c r="HB62" s="25" t="str">
        <f t="shared" ref="HB62" si="444">CO62</f>
        <v>SouthAfrica</v>
      </c>
      <c r="HC62" s="25" t="str">
        <f t="shared" ref="HC62" si="445">CP62</f>
        <v>SouthKorea</v>
      </c>
      <c r="HD62" s="25" t="str">
        <f t="shared" ref="HD62" si="446">CQ62</f>
        <v>Spain</v>
      </c>
      <c r="HE62" s="25" t="str">
        <f t="shared" ref="HE62" si="447">CR62</f>
        <v>Sudan</v>
      </c>
      <c r="HF62" s="25" t="str">
        <f t="shared" ref="HF62" si="448">CS62</f>
        <v>Sweden</v>
      </c>
      <c r="HG62" s="25" t="str">
        <f t="shared" ref="HG62" si="449">CT62</f>
        <v>Switzerland</v>
      </c>
      <c r="HH62" s="25" t="str">
        <f t="shared" ref="HH62" si="450">CU62</f>
        <v>Taiwan</v>
      </c>
      <c r="HI62" s="25" t="str">
        <f t="shared" ref="HI62" si="451">CV62</f>
        <v>Tajikistan</v>
      </c>
      <c r="HJ62" s="25" t="str">
        <f t="shared" ref="HJ62" si="452">CW62</f>
        <v>Tanzania</v>
      </c>
      <c r="HK62" s="25" t="str">
        <f t="shared" ref="HK62" si="453">CX62</f>
        <v>Thailand</v>
      </c>
      <c r="HL62" s="25" t="str">
        <f t="shared" ref="HL62" si="454">CY62</f>
        <v>Tunisia</v>
      </c>
      <c r="HM62" s="25" t="str">
        <f t="shared" ref="HM62" si="455">CZ62</f>
        <v>Turkey</v>
      </c>
      <c r="HN62" s="25" t="str">
        <f t="shared" ref="HN62" si="456">DA62</f>
        <v>Turkmenistan</v>
      </c>
      <c r="HO62" s="25" t="str">
        <f t="shared" ref="HO62" si="457">DB62</f>
        <v>UAE</v>
      </c>
      <c r="HP62" s="25" t="str">
        <f t="shared" ref="HP62" si="458">DC62</f>
        <v>UK</v>
      </c>
      <c r="HQ62" s="25" t="str">
        <f t="shared" ref="HQ62" si="459">DD62</f>
        <v>Ukraine</v>
      </c>
      <c r="HR62" s="25" t="str">
        <f t="shared" ref="HR62" si="460">DE62</f>
        <v>USA</v>
      </c>
      <c r="HS62" s="25" t="str">
        <f t="shared" ref="HS62" si="461">DF62</f>
        <v>Uzbekistan</v>
      </c>
      <c r="HT62" s="25" t="str">
        <f t="shared" ref="HT62" si="462">DG62</f>
        <v>Venezuela</v>
      </c>
      <c r="HU62" s="25" t="str">
        <f t="shared" ref="HU62" si="463">DH62</f>
        <v>Vietnam</v>
      </c>
      <c r="HV62" s="25" t="str">
        <f t="shared" ref="HV62" si="464">DI62</f>
        <v>Yemen</v>
      </c>
      <c r="HW62" s="25" t="str">
        <f t="shared" ref="HW62" si="465">DJ62</f>
        <v>Zambia</v>
      </c>
      <c r="HX62" s="25" t="str">
        <f t="shared" ref="HX62:HY69" si="466">C62</f>
        <v>PSET_SET</v>
      </c>
      <c r="HY62" s="25" t="str">
        <f t="shared" si="466"/>
        <v>PSET_CI</v>
      </c>
      <c r="HZ62" s="25" t="s">
        <v>484</v>
      </c>
      <c r="IA62" s="25" t="str">
        <f t="shared" ref="IA62:IA69" si="467">A62</f>
        <v>Year</v>
      </c>
    </row>
    <row r="63" spans="1:235">
      <c r="A63">
        <v>2030</v>
      </c>
      <c r="B63" t="str">
        <f>B52</f>
        <v>UCE_utilization_COB_LO</v>
      </c>
      <c r="C63" t="s">
        <v>404</v>
      </c>
      <c r="D63" t="str">
        <f>D52</f>
        <v>???COB</v>
      </c>
      <c r="F63" s="25">
        <f>ROUND(-F4*$DP$62,2)</f>
        <v>0</v>
      </c>
      <c r="G63" s="25">
        <f t="shared" ref="G63:BR63" si="468">ROUND(-G4*$DP$62,2)</f>
        <v>0</v>
      </c>
      <c r="H63" s="25">
        <f t="shared" si="468"/>
        <v>0</v>
      </c>
      <c r="I63" s="25">
        <f t="shared" si="468"/>
        <v>0</v>
      </c>
      <c r="J63" s="25">
        <f t="shared" si="468"/>
        <v>0</v>
      </c>
      <c r="K63" s="25">
        <f t="shared" si="468"/>
        <v>-0.21</v>
      </c>
      <c r="L63" s="25">
        <f t="shared" si="468"/>
        <v>0</v>
      </c>
      <c r="M63" s="25">
        <f t="shared" si="468"/>
        <v>0</v>
      </c>
      <c r="N63" s="25">
        <f t="shared" si="468"/>
        <v>0</v>
      </c>
      <c r="O63" s="25">
        <f t="shared" si="468"/>
        <v>0</v>
      </c>
      <c r="P63" s="25">
        <f t="shared" si="468"/>
        <v>0</v>
      </c>
      <c r="Q63" s="25">
        <f t="shared" si="468"/>
        <v>-0.16</v>
      </c>
      <c r="R63" s="25">
        <f t="shared" si="468"/>
        <v>0</v>
      </c>
      <c r="S63" s="25">
        <f t="shared" si="468"/>
        <v>-0.12</v>
      </c>
      <c r="T63" s="25">
        <f t="shared" si="468"/>
        <v>0</v>
      </c>
      <c r="U63" s="25">
        <f t="shared" si="468"/>
        <v>-0.21</v>
      </c>
      <c r="V63" s="25">
        <f t="shared" si="468"/>
        <v>0</v>
      </c>
      <c r="W63" s="25">
        <f t="shared" si="468"/>
        <v>0</v>
      </c>
      <c r="X63" s="25">
        <f t="shared" si="468"/>
        <v>0</v>
      </c>
      <c r="Y63" s="25">
        <f t="shared" si="468"/>
        <v>0</v>
      </c>
      <c r="Z63" s="25">
        <f t="shared" si="468"/>
        <v>0</v>
      </c>
      <c r="AA63" s="25">
        <f t="shared" si="468"/>
        <v>-0.14</v>
      </c>
      <c r="AB63" s="25">
        <f t="shared" si="468"/>
        <v>0</v>
      </c>
      <c r="AC63" s="25">
        <f t="shared" si="468"/>
        <v>0</v>
      </c>
      <c r="AD63" s="25">
        <f t="shared" si="468"/>
        <v>0</v>
      </c>
      <c r="AE63" s="25">
        <f t="shared" si="468"/>
        <v>0</v>
      </c>
      <c r="AF63" s="25">
        <f t="shared" si="468"/>
        <v>0</v>
      </c>
      <c r="AG63" s="25">
        <f t="shared" si="468"/>
        <v>0</v>
      </c>
      <c r="AH63" s="25">
        <f t="shared" si="468"/>
        <v>0</v>
      </c>
      <c r="AI63" s="25">
        <f t="shared" si="468"/>
        <v>0</v>
      </c>
      <c r="AJ63" s="25">
        <f t="shared" si="468"/>
        <v>-0.16</v>
      </c>
      <c r="AK63" s="25">
        <f t="shared" si="468"/>
        <v>0</v>
      </c>
      <c r="AL63" s="25">
        <f t="shared" si="468"/>
        <v>-0.12</v>
      </c>
      <c r="AM63" s="25">
        <f t="shared" si="468"/>
        <v>-0.1</v>
      </c>
      <c r="AN63" s="25">
        <f t="shared" si="468"/>
        <v>0</v>
      </c>
      <c r="AO63" s="25">
        <f t="shared" si="468"/>
        <v>-0.12</v>
      </c>
      <c r="AP63" s="25">
        <f t="shared" si="468"/>
        <v>-0.17</v>
      </c>
      <c r="AQ63" s="25">
        <f t="shared" si="468"/>
        <v>0</v>
      </c>
      <c r="AR63" s="25">
        <f t="shared" si="468"/>
        <v>0</v>
      </c>
      <c r="AS63" s="25">
        <f t="shared" si="468"/>
        <v>0</v>
      </c>
      <c r="AT63" s="25">
        <f t="shared" si="468"/>
        <v>0</v>
      </c>
      <c r="AU63" s="25">
        <f t="shared" si="468"/>
        <v>0</v>
      </c>
      <c r="AV63" s="25">
        <f t="shared" si="468"/>
        <v>0</v>
      </c>
      <c r="AW63" s="25">
        <f t="shared" si="468"/>
        <v>0</v>
      </c>
      <c r="AX63" s="25">
        <f t="shared" si="468"/>
        <v>0</v>
      </c>
      <c r="AY63" s="25">
        <f t="shared" si="468"/>
        <v>0</v>
      </c>
      <c r="AZ63" s="25">
        <f t="shared" si="468"/>
        <v>-0.13</v>
      </c>
      <c r="BA63" s="25">
        <f t="shared" si="468"/>
        <v>0</v>
      </c>
      <c r="BB63" s="25">
        <f t="shared" si="468"/>
        <v>0</v>
      </c>
      <c r="BC63" s="25">
        <f t="shared" si="468"/>
        <v>0</v>
      </c>
      <c r="BD63" s="25">
        <f t="shared" si="468"/>
        <v>0</v>
      </c>
      <c r="BE63" s="25">
        <f t="shared" si="468"/>
        <v>0</v>
      </c>
      <c r="BF63" s="25">
        <f t="shared" si="468"/>
        <v>0</v>
      </c>
      <c r="BG63" s="25">
        <f t="shared" si="468"/>
        <v>-0.14</v>
      </c>
      <c r="BH63" s="25">
        <f t="shared" si="468"/>
        <v>0</v>
      </c>
      <c r="BI63" s="25">
        <f t="shared" si="468"/>
        <v>0</v>
      </c>
      <c r="BJ63" s="25">
        <f t="shared" si="468"/>
        <v>0</v>
      </c>
      <c r="BK63" s="25">
        <f t="shared" si="468"/>
        <v>0</v>
      </c>
      <c r="BL63" s="25">
        <f t="shared" si="468"/>
        <v>-0.19</v>
      </c>
      <c r="BM63" s="25">
        <f t="shared" si="468"/>
        <v>0</v>
      </c>
      <c r="BN63" s="25">
        <f t="shared" si="468"/>
        <v>0</v>
      </c>
      <c r="BO63" s="25">
        <f t="shared" si="468"/>
        <v>0</v>
      </c>
      <c r="BP63" s="25">
        <f t="shared" si="468"/>
        <v>0</v>
      </c>
      <c r="BQ63" s="25">
        <f t="shared" si="468"/>
        <v>0</v>
      </c>
      <c r="BR63" s="25">
        <f t="shared" si="468"/>
        <v>-0.09</v>
      </c>
      <c r="BS63" s="25">
        <f t="shared" ref="BS63:DJ63" si="469">ROUND(-BS4*$DP$62,2)</f>
        <v>0</v>
      </c>
      <c r="BT63" s="25">
        <f t="shared" si="469"/>
        <v>0</v>
      </c>
      <c r="BU63" s="25">
        <f t="shared" si="469"/>
        <v>0</v>
      </c>
      <c r="BV63" s="25">
        <f t="shared" si="469"/>
        <v>0</v>
      </c>
      <c r="BW63" s="25">
        <f t="shared" si="469"/>
        <v>0</v>
      </c>
      <c r="BX63" s="25">
        <f t="shared" si="469"/>
        <v>-0.11</v>
      </c>
      <c r="BY63" s="25">
        <f t="shared" si="469"/>
        <v>0</v>
      </c>
      <c r="BZ63" s="25">
        <f t="shared" si="469"/>
        <v>0</v>
      </c>
      <c r="CA63" s="25">
        <f t="shared" si="469"/>
        <v>0</v>
      </c>
      <c r="CB63" s="25">
        <f t="shared" si="469"/>
        <v>0</v>
      </c>
      <c r="CC63" s="25">
        <f t="shared" si="469"/>
        <v>0</v>
      </c>
      <c r="CD63" s="25">
        <f t="shared" si="469"/>
        <v>-0.21</v>
      </c>
      <c r="CE63" s="25">
        <f t="shared" si="469"/>
        <v>-0.16</v>
      </c>
      <c r="CF63" s="25">
        <f t="shared" si="469"/>
        <v>0</v>
      </c>
      <c r="CG63" s="25">
        <f t="shared" si="469"/>
        <v>0</v>
      </c>
      <c r="CH63" s="25">
        <f t="shared" si="469"/>
        <v>-0.1</v>
      </c>
      <c r="CI63" s="25">
        <f t="shared" si="469"/>
        <v>-0.09</v>
      </c>
      <c r="CJ63" s="25">
        <f t="shared" si="469"/>
        <v>0</v>
      </c>
      <c r="CK63" s="25">
        <f t="shared" si="469"/>
        <v>-0.17</v>
      </c>
      <c r="CL63" s="25">
        <f t="shared" si="469"/>
        <v>0</v>
      </c>
      <c r="CM63" s="25">
        <f t="shared" si="469"/>
        <v>-0.08</v>
      </c>
      <c r="CN63" s="25">
        <f t="shared" si="469"/>
        <v>-0.21</v>
      </c>
      <c r="CO63" s="25">
        <f t="shared" si="469"/>
        <v>0</v>
      </c>
      <c r="CP63" s="25">
        <f t="shared" si="469"/>
        <v>-0.1</v>
      </c>
      <c r="CQ63" s="25">
        <f t="shared" si="469"/>
        <v>0</v>
      </c>
      <c r="CR63" s="25">
        <f t="shared" si="469"/>
        <v>0</v>
      </c>
      <c r="CS63" s="25">
        <f t="shared" si="469"/>
        <v>0</v>
      </c>
      <c r="CT63" s="25">
        <f t="shared" si="469"/>
        <v>0</v>
      </c>
      <c r="CU63" s="25">
        <f t="shared" si="469"/>
        <v>-0.08</v>
      </c>
      <c r="CV63" s="25">
        <f t="shared" si="469"/>
        <v>0</v>
      </c>
      <c r="CW63" s="25">
        <f t="shared" si="469"/>
        <v>0</v>
      </c>
      <c r="CX63" s="25">
        <f t="shared" si="469"/>
        <v>-0.18</v>
      </c>
      <c r="CY63" s="25">
        <f t="shared" si="469"/>
        <v>0</v>
      </c>
      <c r="CZ63" s="25">
        <f t="shared" si="469"/>
        <v>-0.15</v>
      </c>
      <c r="DA63" s="25">
        <f t="shared" si="469"/>
        <v>0</v>
      </c>
      <c r="DB63" s="25">
        <f t="shared" si="469"/>
        <v>0</v>
      </c>
      <c r="DC63" s="25">
        <f t="shared" si="469"/>
        <v>0</v>
      </c>
      <c r="DD63" s="25">
        <f t="shared" si="469"/>
        <v>0</v>
      </c>
      <c r="DE63" s="25">
        <f t="shared" si="469"/>
        <v>-0.16</v>
      </c>
      <c r="DF63" s="25">
        <f t="shared" si="469"/>
        <v>-0.03</v>
      </c>
      <c r="DG63" s="25">
        <f t="shared" si="469"/>
        <v>0</v>
      </c>
      <c r="DH63" s="25">
        <f t="shared" si="469"/>
        <v>0</v>
      </c>
      <c r="DI63" s="25">
        <f t="shared" si="469"/>
        <v>0</v>
      </c>
      <c r="DJ63" s="25">
        <f t="shared" si="469"/>
        <v>0</v>
      </c>
      <c r="DK63" s="7">
        <f>1/31.536</f>
        <v>0.0317097919837646</v>
      </c>
      <c r="DL63">
        <v>0</v>
      </c>
      <c r="DM63">
        <v>5</v>
      </c>
      <c r="DS63" s="25">
        <f>-F63</f>
        <v>0</v>
      </c>
      <c r="DT63" s="25">
        <f t="shared" ref="DT63:DT69" si="470">-G63</f>
        <v>0</v>
      </c>
      <c r="DU63" s="25">
        <f t="shared" ref="DU63:DU69" si="471">-H63</f>
        <v>0</v>
      </c>
      <c r="DV63" s="25">
        <f t="shared" ref="DV63:DV69" si="472">-I63</f>
        <v>0</v>
      </c>
      <c r="DW63" s="25">
        <f t="shared" ref="DW63:DW69" si="473">-J63</f>
        <v>0</v>
      </c>
      <c r="DX63" s="25">
        <f t="shared" ref="DX63:DX69" si="474">-K63</f>
        <v>0.21</v>
      </c>
      <c r="DY63" s="25">
        <f t="shared" ref="DY63:DY69" si="475">-L63</f>
        <v>0</v>
      </c>
      <c r="DZ63" s="25">
        <f t="shared" ref="DZ63:DZ69" si="476">-M63</f>
        <v>0</v>
      </c>
      <c r="EA63" s="25">
        <f t="shared" ref="EA63:EA69" si="477">-N63</f>
        <v>0</v>
      </c>
      <c r="EB63" s="25">
        <f t="shared" ref="EB63:EB69" si="478">-O63</f>
        <v>0</v>
      </c>
      <c r="EC63" s="25">
        <f t="shared" ref="EC63:EC69" si="479">-P63</f>
        <v>0</v>
      </c>
      <c r="ED63" s="25">
        <f t="shared" ref="ED63:ED69" si="480">-Q63</f>
        <v>0.16</v>
      </c>
      <c r="EE63" s="25">
        <f t="shared" ref="EE63:EE69" si="481">-R63</f>
        <v>0</v>
      </c>
      <c r="EF63" s="25">
        <f t="shared" ref="EF63:EF69" si="482">-S63</f>
        <v>0.12</v>
      </c>
      <c r="EG63" s="25">
        <f t="shared" ref="EG63:EG69" si="483">-T63</f>
        <v>0</v>
      </c>
      <c r="EH63" s="25">
        <f t="shared" ref="EH63:EH69" si="484">-U63</f>
        <v>0.21</v>
      </c>
      <c r="EI63" s="25">
        <f t="shared" ref="EI63:EI69" si="485">-V63</f>
        <v>0</v>
      </c>
      <c r="EJ63" s="25">
        <f t="shared" ref="EJ63:EJ69" si="486">-W63</f>
        <v>0</v>
      </c>
      <c r="EK63" s="25">
        <f t="shared" ref="EK63:EK69" si="487">-X63</f>
        <v>0</v>
      </c>
      <c r="EL63" s="25">
        <f t="shared" ref="EL63:EL69" si="488">-Y63</f>
        <v>0</v>
      </c>
      <c r="EM63" s="25">
        <f t="shared" ref="EM63:EM69" si="489">-Z63</f>
        <v>0</v>
      </c>
      <c r="EN63" s="25">
        <f t="shared" ref="EN63:EN69" si="490">-AA63</f>
        <v>0.14</v>
      </c>
      <c r="EO63" s="25">
        <f t="shared" ref="EO63:EO69" si="491">-AB63</f>
        <v>0</v>
      </c>
      <c r="EP63" s="25">
        <f t="shared" ref="EP63:EP69" si="492">-AC63</f>
        <v>0</v>
      </c>
      <c r="EQ63" s="25">
        <f t="shared" ref="EQ63:EQ69" si="493">-AD63</f>
        <v>0</v>
      </c>
      <c r="ER63" s="25">
        <f t="shared" ref="ER63:ER69" si="494">-AE63</f>
        <v>0</v>
      </c>
      <c r="ES63" s="25">
        <f t="shared" ref="ES63:ES69" si="495">-AF63</f>
        <v>0</v>
      </c>
      <c r="ET63" s="25">
        <f t="shared" ref="ET63:ET69" si="496">-AG63</f>
        <v>0</v>
      </c>
      <c r="EU63" s="25">
        <f t="shared" ref="EU63:EU69" si="497">-AH63</f>
        <v>0</v>
      </c>
      <c r="EV63" s="25">
        <f t="shared" ref="EV63:EV69" si="498">-AI63</f>
        <v>0</v>
      </c>
      <c r="EW63" s="25">
        <f t="shared" ref="EW63:EW69" si="499">-AJ63</f>
        <v>0.16</v>
      </c>
      <c r="EX63" s="25">
        <f t="shared" ref="EX63:EX69" si="500">-AK63</f>
        <v>0</v>
      </c>
      <c r="EY63" s="25">
        <f t="shared" ref="EY63:EY69" si="501">-AL63</f>
        <v>0.12</v>
      </c>
      <c r="EZ63" s="25">
        <f t="shared" ref="EZ63:EZ69" si="502">-AM63</f>
        <v>0.1</v>
      </c>
      <c r="FA63" s="25">
        <f t="shared" ref="FA63:FA69" si="503">-AN63</f>
        <v>0</v>
      </c>
      <c r="FB63" s="25">
        <f t="shared" ref="FB63:FB69" si="504">-AO63</f>
        <v>0.12</v>
      </c>
      <c r="FC63" s="25">
        <f t="shared" ref="FC63:FC69" si="505">-AP63</f>
        <v>0.17</v>
      </c>
      <c r="FD63" s="25">
        <f t="shared" ref="FD63:FD69" si="506">-AQ63</f>
        <v>0</v>
      </c>
      <c r="FE63" s="25">
        <f t="shared" ref="FE63:FE69" si="507">-AR63</f>
        <v>0</v>
      </c>
      <c r="FF63" s="25">
        <f t="shared" ref="FF63:FF69" si="508">-AS63</f>
        <v>0</v>
      </c>
      <c r="FG63" s="25">
        <f t="shared" ref="FG63:FG69" si="509">-AT63</f>
        <v>0</v>
      </c>
      <c r="FH63" s="25">
        <f t="shared" ref="FH63:FH69" si="510">-AU63</f>
        <v>0</v>
      </c>
      <c r="FI63" s="25">
        <f t="shared" ref="FI63:FI69" si="511">-AV63</f>
        <v>0</v>
      </c>
      <c r="FJ63" s="25">
        <f t="shared" ref="FJ63:FJ69" si="512">-AW63</f>
        <v>0</v>
      </c>
      <c r="FK63" s="25">
        <f t="shared" ref="FK63:FK69" si="513">-AX63</f>
        <v>0</v>
      </c>
      <c r="FL63" s="25">
        <f t="shared" ref="FL63:FL69" si="514">-AY63</f>
        <v>0</v>
      </c>
      <c r="FM63" s="25">
        <f t="shared" ref="FM63:FM69" si="515">-AZ63</f>
        <v>0.13</v>
      </c>
      <c r="FN63" s="25">
        <f t="shared" ref="FN63:FN69" si="516">-BA63</f>
        <v>0</v>
      </c>
      <c r="FO63" s="25">
        <f t="shared" ref="FO63:FO69" si="517">-BB63</f>
        <v>0</v>
      </c>
      <c r="FP63" s="25">
        <f t="shared" ref="FP63:FP69" si="518">-BC63</f>
        <v>0</v>
      </c>
      <c r="FQ63" s="25">
        <f t="shared" ref="FQ63:FQ69" si="519">-BD63</f>
        <v>0</v>
      </c>
      <c r="FR63" s="25">
        <f t="shared" ref="FR63:FR69" si="520">-BE63</f>
        <v>0</v>
      </c>
      <c r="FS63" s="25">
        <f t="shared" ref="FS63:FS69" si="521">-BF63</f>
        <v>0</v>
      </c>
      <c r="FT63" s="25">
        <f t="shared" ref="FT63:FT69" si="522">-BG63</f>
        <v>0.14</v>
      </c>
      <c r="FU63" s="25">
        <f t="shared" ref="FU63:FU69" si="523">-BH63</f>
        <v>0</v>
      </c>
      <c r="FV63" s="25">
        <f t="shared" ref="FV63:FV69" si="524">-BI63</f>
        <v>0</v>
      </c>
      <c r="FW63" s="25">
        <f t="shared" ref="FW63:FW69" si="525">-BJ63</f>
        <v>0</v>
      </c>
      <c r="FX63" s="25">
        <f t="shared" ref="FX63:FX69" si="526">-BK63</f>
        <v>0</v>
      </c>
      <c r="FY63" s="25">
        <f t="shared" ref="FY63:FY69" si="527">-BL63</f>
        <v>0.19</v>
      </c>
      <c r="FZ63" s="25">
        <f t="shared" ref="FZ63:FZ69" si="528">-BM63</f>
        <v>0</v>
      </c>
      <c r="GA63" s="25">
        <f t="shared" ref="GA63:GA69" si="529">-BN63</f>
        <v>0</v>
      </c>
      <c r="GB63" s="25">
        <f t="shared" ref="GB63:GB69" si="530">-BO63</f>
        <v>0</v>
      </c>
      <c r="GC63" s="25">
        <f t="shared" ref="GC63:GC69" si="531">-BP63</f>
        <v>0</v>
      </c>
      <c r="GD63" s="25">
        <f t="shared" ref="GD63:GD69" si="532">-BQ63</f>
        <v>0</v>
      </c>
      <c r="GE63" s="25">
        <f t="shared" ref="GE63:GU69" si="533">-BR63</f>
        <v>0.09</v>
      </c>
      <c r="GF63" s="25">
        <f t="shared" si="533"/>
        <v>0</v>
      </c>
      <c r="GG63" s="25">
        <f t="shared" si="533"/>
        <v>0</v>
      </c>
      <c r="GH63" s="25">
        <f t="shared" si="533"/>
        <v>0</v>
      </c>
      <c r="GI63" s="25">
        <f t="shared" si="533"/>
        <v>0</v>
      </c>
      <c r="GJ63" s="25">
        <f t="shared" si="533"/>
        <v>0</v>
      </c>
      <c r="GK63" s="25">
        <f t="shared" si="533"/>
        <v>0.11</v>
      </c>
      <c r="GL63" s="25">
        <f t="shared" si="533"/>
        <v>0</v>
      </c>
      <c r="GM63" s="25">
        <f t="shared" si="533"/>
        <v>0</v>
      </c>
      <c r="GN63" s="25">
        <f t="shared" si="533"/>
        <v>0</v>
      </c>
      <c r="GO63" s="25">
        <f t="shared" si="533"/>
        <v>0</v>
      </c>
      <c r="GP63" s="25">
        <f t="shared" si="533"/>
        <v>0</v>
      </c>
      <c r="GQ63" s="25">
        <f t="shared" si="533"/>
        <v>0.21</v>
      </c>
      <c r="GR63" s="25">
        <f t="shared" si="533"/>
        <v>0.16</v>
      </c>
      <c r="GS63" s="25">
        <f t="shared" si="533"/>
        <v>0</v>
      </c>
      <c r="GT63" s="25">
        <f t="shared" si="533"/>
        <v>0</v>
      </c>
      <c r="GU63" s="25">
        <f t="shared" si="533"/>
        <v>0.1</v>
      </c>
      <c r="GV63" s="25">
        <f t="shared" ref="GV63:GV67" si="534">-CI63</f>
        <v>0.09</v>
      </c>
      <c r="GW63" s="25">
        <f t="shared" ref="GW63:GW67" si="535">-CJ63</f>
        <v>0</v>
      </c>
      <c r="GX63" s="25">
        <f t="shared" ref="GX63:GX67" si="536">-CK63</f>
        <v>0.17</v>
      </c>
      <c r="GY63" s="25">
        <f t="shared" ref="GY63:GY67" si="537">-CL63</f>
        <v>0</v>
      </c>
      <c r="GZ63" s="25">
        <f t="shared" ref="GZ63:GZ67" si="538">-CM63</f>
        <v>0.08</v>
      </c>
      <c r="HA63" s="25">
        <f t="shared" ref="HA63:HA67" si="539">-CN63</f>
        <v>0.21</v>
      </c>
      <c r="HB63" s="25">
        <f t="shared" ref="HB63:HB67" si="540">-CO63</f>
        <v>0</v>
      </c>
      <c r="HC63" s="25">
        <f t="shared" ref="HC63:HC67" si="541">-CP63</f>
        <v>0.1</v>
      </c>
      <c r="HD63" s="25">
        <f t="shared" ref="HD63:HD67" si="542">-CQ63</f>
        <v>0</v>
      </c>
      <c r="HE63" s="25">
        <f t="shared" ref="HE63:HE67" si="543">-CR63</f>
        <v>0</v>
      </c>
      <c r="HF63" s="25">
        <f t="shared" ref="HF63:HF67" si="544">-CS63</f>
        <v>0</v>
      </c>
      <c r="HG63" s="25">
        <f t="shared" ref="HG63:HG67" si="545">-CT63</f>
        <v>0</v>
      </c>
      <c r="HH63" s="25">
        <f t="shared" ref="HH63:HH67" si="546">-CU63</f>
        <v>0.08</v>
      </c>
      <c r="HI63" s="25">
        <f t="shared" ref="HI63:HI67" si="547">-CV63</f>
        <v>0</v>
      </c>
      <c r="HJ63" s="25">
        <f t="shared" ref="HJ63:HJ67" si="548">-CW63</f>
        <v>0</v>
      </c>
      <c r="HK63" s="25">
        <f t="shared" ref="HK63:HK67" si="549">-CX63</f>
        <v>0.18</v>
      </c>
      <c r="HL63" s="25">
        <f t="shared" ref="HL63:HL67" si="550">-CY63</f>
        <v>0</v>
      </c>
      <c r="HM63" s="25">
        <f t="shared" ref="HM63:HM67" si="551">-CZ63</f>
        <v>0.15</v>
      </c>
      <c r="HN63" s="25">
        <f t="shared" ref="HN63:HN67" si="552">-DA63</f>
        <v>0</v>
      </c>
      <c r="HO63" s="25">
        <f t="shared" ref="HO63:HO67" si="553">-DB63</f>
        <v>0</v>
      </c>
      <c r="HP63" s="25">
        <f t="shared" ref="HP63:HP67" si="554">-DC63</f>
        <v>0</v>
      </c>
      <c r="HQ63" s="25">
        <f t="shared" ref="HQ63:HQ67" si="555">-DD63</f>
        <v>0</v>
      </c>
      <c r="HR63" s="25">
        <f t="shared" ref="HR63:HR67" si="556">-DE63</f>
        <v>0.16</v>
      </c>
      <c r="HS63" s="25">
        <f t="shared" ref="HS63:HS67" si="557">-DF63</f>
        <v>0.03</v>
      </c>
      <c r="HT63" s="25">
        <f t="shared" ref="HT63:HT67" si="558">-DG63</f>
        <v>0</v>
      </c>
      <c r="HU63" s="25">
        <f t="shared" ref="HU63:HU67" si="559">-DH63</f>
        <v>0</v>
      </c>
      <c r="HV63" s="25">
        <f t="shared" ref="HV63:HV67" si="560">-DI63</f>
        <v>0</v>
      </c>
      <c r="HW63" s="25">
        <f t="shared" ref="HW63:HW67" si="561">-DJ63</f>
        <v>0</v>
      </c>
      <c r="HX63" s="25" t="str">
        <f t="shared" si="466"/>
        <v>ELE,CHP</v>
      </c>
      <c r="HY63" s="25" t="str">
        <f t="shared" si="466"/>
        <v>???COB</v>
      </c>
      <c r="HZ63" t="s">
        <v>247</v>
      </c>
      <c r="IA63">
        <f t="shared" si="467"/>
        <v>2030</v>
      </c>
    </row>
    <row r="64" spans="1:235">
      <c r="A64">
        <v>2030</v>
      </c>
      <c r="B64" t="str">
        <f>B53</f>
        <v>UCE_utilization_COA_LO</v>
      </c>
      <c r="C64" t="s">
        <v>404</v>
      </c>
      <c r="D64" t="str">
        <f>D53</f>
        <v>???COA</v>
      </c>
      <c r="F64" s="25">
        <f t="shared" ref="F64:BQ64" si="562">ROUND(-F5*$DP$62,2)</f>
        <v>0</v>
      </c>
      <c r="G64" s="25">
        <f t="shared" si="562"/>
        <v>0</v>
      </c>
      <c r="H64" s="25">
        <f t="shared" si="562"/>
        <v>0</v>
      </c>
      <c r="I64" s="25">
        <f t="shared" si="562"/>
        <v>-0.03</v>
      </c>
      <c r="J64" s="25">
        <f t="shared" si="562"/>
        <v>0</v>
      </c>
      <c r="K64" s="25">
        <f t="shared" si="562"/>
        <v>-0.15</v>
      </c>
      <c r="L64" s="25">
        <f t="shared" si="562"/>
        <v>0</v>
      </c>
      <c r="M64" s="25">
        <f t="shared" si="562"/>
        <v>0</v>
      </c>
      <c r="N64" s="25">
        <f t="shared" si="562"/>
        <v>-0.12</v>
      </c>
      <c r="O64" s="25">
        <f t="shared" si="562"/>
        <v>-0.09</v>
      </c>
      <c r="P64" s="25">
        <f t="shared" si="562"/>
        <v>0</v>
      </c>
      <c r="Q64" s="25">
        <f t="shared" si="562"/>
        <v>0</v>
      </c>
      <c r="R64" s="25">
        <f t="shared" si="562"/>
        <v>-0.07</v>
      </c>
      <c r="S64" s="25">
        <f t="shared" si="562"/>
        <v>-0.03</v>
      </c>
      <c r="T64" s="25">
        <f t="shared" si="562"/>
        <v>0</v>
      </c>
      <c r="U64" s="25">
        <f t="shared" si="562"/>
        <v>-0.09</v>
      </c>
      <c r="V64" s="25">
        <f t="shared" si="562"/>
        <v>-0.21</v>
      </c>
      <c r="W64" s="25">
        <f t="shared" si="562"/>
        <v>-0.16</v>
      </c>
      <c r="X64" s="25">
        <f t="shared" si="562"/>
        <v>-0.16</v>
      </c>
      <c r="Y64" s="25">
        <f t="shared" si="562"/>
        <v>-0.16</v>
      </c>
      <c r="Z64" s="25">
        <f t="shared" si="562"/>
        <v>0</v>
      </c>
      <c r="AA64" s="25">
        <f t="shared" si="562"/>
        <v>-0.05</v>
      </c>
      <c r="AB64" s="25">
        <f t="shared" si="562"/>
        <v>-0.04</v>
      </c>
      <c r="AC64" s="25">
        <f t="shared" si="562"/>
        <v>0</v>
      </c>
      <c r="AD64" s="25">
        <f t="shared" si="562"/>
        <v>0</v>
      </c>
      <c r="AE64" s="25">
        <f t="shared" si="562"/>
        <v>0</v>
      </c>
      <c r="AF64" s="25">
        <f t="shared" si="562"/>
        <v>0</v>
      </c>
      <c r="AG64" s="25">
        <f t="shared" si="562"/>
        <v>-0.04</v>
      </c>
      <c r="AH64" s="25">
        <f t="shared" si="562"/>
        <v>-0.05</v>
      </c>
      <c r="AI64" s="25">
        <f t="shared" si="562"/>
        <v>0</v>
      </c>
      <c r="AJ64" s="25">
        <f t="shared" si="562"/>
        <v>-0.08</v>
      </c>
      <c r="AK64" s="25">
        <f t="shared" si="562"/>
        <v>0</v>
      </c>
      <c r="AL64" s="25">
        <f t="shared" si="562"/>
        <v>0</v>
      </c>
      <c r="AM64" s="25">
        <f t="shared" si="562"/>
        <v>0</v>
      </c>
      <c r="AN64" s="25">
        <f t="shared" si="562"/>
        <v>0</v>
      </c>
      <c r="AO64" s="25">
        <f t="shared" si="562"/>
        <v>-0.15</v>
      </c>
      <c r="AP64" s="25">
        <f t="shared" si="562"/>
        <v>0</v>
      </c>
      <c r="AQ64" s="25">
        <f t="shared" si="562"/>
        <v>0</v>
      </c>
      <c r="AR64" s="25">
        <f t="shared" si="562"/>
        <v>0</v>
      </c>
      <c r="AS64" s="25">
        <f t="shared" si="562"/>
        <v>-0.01</v>
      </c>
      <c r="AT64" s="25">
        <f t="shared" si="562"/>
        <v>-0.13</v>
      </c>
      <c r="AU64" s="25">
        <f t="shared" si="562"/>
        <v>-0.07</v>
      </c>
      <c r="AV64" s="25">
        <f t="shared" si="562"/>
        <v>0</v>
      </c>
      <c r="AW64" s="25">
        <f t="shared" si="562"/>
        <v>-0.18</v>
      </c>
      <c r="AX64" s="25">
        <f t="shared" si="562"/>
        <v>-0.21</v>
      </c>
      <c r="AY64" s="25">
        <f t="shared" si="562"/>
        <v>0</v>
      </c>
      <c r="AZ64" s="25">
        <f t="shared" si="562"/>
        <v>0</v>
      </c>
      <c r="BA64" s="25">
        <f t="shared" si="562"/>
        <v>0</v>
      </c>
      <c r="BB64" s="25">
        <f t="shared" si="562"/>
        <v>0</v>
      </c>
      <c r="BC64" s="25">
        <f t="shared" si="562"/>
        <v>0</v>
      </c>
      <c r="BD64" s="25">
        <f t="shared" si="562"/>
        <v>0</v>
      </c>
      <c r="BE64" s="25">
        <f t="shared" si="562"/>
        <v>0</v>
      </c>
      <c r="BF64" s="25">
        <f t="shared" si="562"/>
        <v>0</v>
      </c>
      <c r="BG64" s="25">
        <f t="shared" si="562"/>
        <v>0</v>
      </c>
      <c r="BH64" s="25">
        <f t="shared" si="562"/>
        <v>-0.21</v>
      </c>
      <c r="BI64" s="25">
        <f t="shared" si="562"/>
        <v>0</v>
      </c>
      <c r="BJ64" s="25">
        <f t="shared" si="562"/>
        <v>-0.08</v>
      </c>
      <c r="BK64" s="25">
        <f t="shared" si="562"/>
        <v>0</v>
      </c>
      <c r="BL64" s="25">
        <f t="shared" si="562"/>
        <v>0</v>
      </c>
      <c r="BM64" s="25">
        <f t="shared" si="562"/>
        <v>-0.18</v>
      </c>
      <c r="BN64" s="25">
        <f t="shared" si="562"/>
        <v>0</v>
      </c>
      <c r="BO64" s="25">
        <f t="shared" si="562"/>
        <v>-0.21</v>
      </c>
      <c r="BP64" s="25">
        <f t="shared" si="562"/>
        <v>0</v>
      </c>
      <c r="BQ64" s="25">
        <f t="shared" si="562"/>
        <v>-0.11</v>
      </c>
      <c r="BR64" s="25">
        <f t="shared" ref="BR64:DJ64" si="563">ROUND(-BR5*$DP$62,2)</f>
        <v>0</v>
      </c>
      <c r="BS64" s="25">
        <f t="shared" si="563"/>
        <v>0</v>
      </c>
      <c r="BT64" s="25">
        <f t="shared" si="563"/>
        <v>0</v>
      </c>
      <c r="BU64" s="25">
        <f t="shared" si="563"/>
        <v>-0.07</v>
      </c>
      <c r="BV64" s="25">
        <f t="shared" si="563"/>
        <v>0</v>
      </c>
      <c r="BW64" s="25">
        <f t="shared" si="563"/>
        <v>-0.1</v>
      </c>
      <c r="BX64" s="25">
        <f t="shared" si="563"/>
        <v>-0.17</v>
      </c>
      <c r="BY64" s="25">
        <f t="shared" si="563"/>
        <v>0</v>
      </c>
      <c r="BZ64" s="25">
        <f t="shared" si="563"/>
        <v>-0.18</v>
      </c>
      <c r="CA64" s="25">
        <f t="shared" si="563"/>
        <v>0</v>
      </c>
      <c r="CB64" s="25">
        <f t="shared" si="563"/>
        <v>-0.21</v>
      </c>
      <c r="CC64" s="25">
        <f t="shared" si="563"/>
        <v>-0.01</v>
      </c>
      <c r="CD64" s="25">
        <f t="shared" si="563"/>
        <v>0</v>
      </c>
      <c r="CE64" s="25">
        <f t="shared" si="563"/>
        <v>-0.1</v>
      </c>
      <c r="CF64" s="25">
        <f t="shared" si="563"/>
        <v>0</v>
      </c>
      <c r="CG64" s="25">
        <f t="shared" si="563"/>
        <v>0</v>
      </c>
      <c r="CH64" s="25">
        <f t="shared" si="563"/>
        <v>0</v>
      </c>
      <c r="CI64" s="25">
        <f t="shared" si="563"/>
        <v>-0.12</v>
      </c>
      <c r="CJ64" s="25">
        <f t="shared" si="563"/>
        <v>0</v>
      </c>
      <c r="CK64" s="25">
        <f t="shared" si="563"/>
        <v>0</v>
      </c>
      <c r="CL64" s="25">
        <f t="shared" si="563"/>
        <v>-0.13</v>
      </c>
      <c r="CM64" s="25">
        <f t="shared" si="563"/>
        <v>-0.14</v>
      </c>
      <c r="CN64" s="25">
        <f t="shared" si="563"/>
        <v>0</v>
      </c>
      <c r="CO64" s="25">
        <f t="shared" si="563"/>
        <v>-0.15</v>
      </c>
      <c r="CP64" s="25">
        <f t="shared" si="563"/>
        <v>-0.2</v>
      </c>
      <c r="CQ64" s="25">
        <f t="shared" si="563"/>
        <v>-0.21</v>
      </c>
      <c r="CR64" s="25">
        <f t="shared" si="563"/>
        <v>0</v>
      </c>
      <c r="CS64" s="25">
        <f t="shared" si="563"/>
        <v>-0.04</v>
      </c>
      <c r="CT64" s="25">
        <f t="shared" si="563"/>
        <v>0</v>
      </c>
      <c r="CU64" s="25">
        <f t="shared" si="563"/>
        <v>-0.21</v>
      </c>
      <c r="CV64" s="25">
        <f t="shared" si="563"/>
        <v>-0.11</v>
      </c>
      <c r="CW64" s="25">
        <f t="shared" si="563"/>
        <v>0</v>
      </c>
      <c r="CX64" s="25">
        <f t="shared" si="563"/>
        <v>-0.14</v>
      </c>
      <c r="CY64" s="25">
        <f t="shared" si="563"/>
        <v>0</v>
      </c>
      <c r="CZ64" s="25">
        <f t="shared" si="563"/>
        <v>-0.21</v>
      </c>
      <c r="DA64" s="25">
        <f t="shared" si="563"/>
        <v>0</v>
      </c>
      <c r="DB64" s="25">
        <f t="shared" si="563"/>
        <v>0</v>
      </c>
      <c r="DC64" s="25">
        <f t="shared" si="563"/>
        <v>-0.04</v>
      </c>
      <c r="DD64" s="25">
        <f t="shared" si="563"/>
        <v>-0.08</v>
      </c>
      <c r="DE64" s="25">
        <f t="shared" si="563"/>
        <v>-0.12</v>
      </c>
      <c r="DF64" s="25">
        <f t="shared" si="563"/>
        <v>0</v>
      </c>
      <c r="DG64" s="25">
        <f t="shared" si="563"/>
        <v>0</v>
      </c>
      <c r="DH64" s="25">
        <f t="shared" si="563"/>
        <v>-0.21</v>
      </c>
      <c r="DI64" s="25">
        <f t="shared" si="563"/>
        <v>0</v>
      </c>
      <c r="DJ64" s="25">
        <f t="shared" si="563"/>
        <v>-0.14</v>
      </c>
      <c r="DK64" s="7">
        <f t="shared" ref="DK64:DK69" si="564">1/31.536</f>
        <v>0.0317097919837646</v>
      </c>
      <c r="DL64">
        <v>0</v>
      </c>
      <c r="DM64">
        <v>5</v>
      </c>
      <c r="DS64" s="25">
        <f t="shared" ref="DS64:DS67" si="565">-F64</f>
        <v>0</v>
      </c>
      <c r="DT64" s="25">
        <f t="shared" si="470"/>
        <v>0</v>
      </c>
      <c r="DU64" s="25">
        <f t="shared" si="471"/>
        <v>0</v>
      </c>
      <c r="DV64" s="25">
        <f t="shared" si="472"/>
        <v>0.03</v>
      </c>
      <c r="DW64" s="25">
        <f t="shared" si="473"/>
        <v>0</v>
      </c>
      <c r="DX64" s="25">
        <f t="shared" si="474"/>
        <v>0.15</v>
      </c>
      <c r="DY64" s="25">
        <f t="shared" si="475"/>
        <v>0</v>
      </c>
      <c r="DZ64" s="25">
        <f t="shared" si="476"/>
        <v>0</v>
      </c>
      <c r="EA64" s="25">
        <f t="shared" si="477"/>
        <v>0.12</v>
      </c>
      <c r="EB64" s="25">
        <f t="shared" si="478"/>
        <v>0.09</v>
      </c>
      <c r="EC64" s="25">
        <f t="shared" si="479"/>
        <v>0</v>
      </c>
      <c r="ED64" s="25">
        <f t="shared" si="480"/>
        <v>0</v>
      </c>
      <c r="EE64" s="25">
        <f t="shared" si="481"/>
        <v>0.07</v>
      </c>
      <c r="EF64" s="25">
        <f t="shared" si="482"/>
        <v>0.03</v>
      </c>
      <c r="EG64" s="25">
        <f t="shared" si="483"/>
        <v>0</v>
      </c>
      <c r="EH64" s="25">
        <f t="shared" si="484"/>
        <v>0.09</v>
      </c>
      <c r="EI64" s="25">
        <f t="shared" si="485"/>
        <v>0.21</v>
      </c>
      <c r="EJ64" s="25">
        <f t="shared" si="486"/>
        <v>0.16</v>
      </c>
      <c r="EK64" s="25">
        <f t="shared" si="487"/>
        <v>0.16</v>
      </c>
      <c r="EL64" s="25">
        <f t="shared" si="488"/>
        <v>0.16</v>
      </c>
      <c r="EM64" s="25">
        <f t="shared" si="489"/>
        <v>0</v>
      </c>
      <c r="EN64" s="25">
        <f t="shared" si="490"/>
        <v>0.05</v>
      </c>
      <c r="EO64" s="25">
        <f t="shared" si="491"/>
        <v>0.04</v>
      </c>
      <c r="EP64" s="25">
        <f t="shared" si="492"/>
        <v>0</v>
      </c>
      <c r="EQ64" s="25">
        <f t="shared" si="493"/>
        <v>0</v>
      </c>
      <c r="ER64" s="25">
        <f t="shared" si="494"/>
        <v>0</v>
      </c>
      <c r="ES64" s="25">
        <f t="shared" si="495"/>
        <v>0</v>
      </c>
      <c r="ET64" s="25">
        <f t="shared" si="496"/>
        <v>0.04</v>
      </c>
      <c r="EU64" s="25">
        <f t="shared" si="497"/>
        <v>0.05</v>
      </c>
      <c r="EV64" s="25">
        <f t="shared" si="498"/>
        <v>0</v>
      </c>
      <c r="EW64" s="25">
        <f t="shared" si="499"/>
        <v>0.08</v>
      </c>
      <c r="EX64" s="25">
        <f t="shared" si="500"/>
        <v>0</v>
      </c>
      <c r="EY64" s="25">
        <f t="shared" si="501"/>
        <v>0</v>
      </c>
      <c r="EZ64" s="25">
        <f t="shared" si="502"/>
        <v>0</v>
      </c>
      <c r="FA64" s="25">
        <f t="shared" si="503"/>
        <v>0</v>
      </c>
      <c r="FB64" s="25">
        <f t="shared" si="504"/>
        <v>0.15</v>
      </c>
      <c r="FC64" s="25">
        <f t="shared" si="505"/>
        <v>0</v>
      </c>
      <c r="FD64" s="25">
        <f t="shared" si="506"/>
        <v>0</v>
      </c>
      <c r="FE64" s="25">
        <f t="shared" si="507"/>
        <v>0</v>
      </c>
      <c r="FF64" s="25">
        <f t="shared" si="508"/>
        <v>0.01</v>
      </c>
      <c r="FG64" s="25">
        <f t="shared" si="509"/>
        <v>0.13</v>
      </c>
      <c r="FH64" s="25">
        <f t="shared" si="510"/>
        <v>0.07</v>
      </c>
      <c r="FI64" s="25">
        <f t="shared" si="511"/>
        <v>0</v>
      </c>
      <c r="FJ64" s="25">
        <f t="shared" si="512"/>
        <v>0.18</v>
      </c>
      <c r="FK64" s="25">
        <f t="shared" si="513"/>
        <v>0.21</v>
      </c>
      <c r="FL64" s="25">
        <f t="shared" si="514"/>
        <v>0</v>
      </c>
      <c r="FM64" s="25">
        <f t="shared" si="515"/>
        <v>0</v>
      </c>
      <c r="FN64" s="25">
        <f t="shared" si="516"/>
        <v>0</v>
      </c>
      <c r="FO64" s="25">
        <f t="shared" si="517"/>
        <v>0</v>
      </c>
      <c r="FP64" s="25">
        <f t="shared" si="518"/>
        <v>0</v>
      </c>
      <c r="FQ64" s="25">
        <f t="shared" si="519"/>
        <v>0</v>
      </c>
      <c r="FR64" s="25">
        <f t="shared" si="520"/>
        <v>0</v>
      </c>
      <c r="FS64" s="25">
        <f t="shared" si="521"/>
        <v>0</v>
      </c>
      <c r="FT64" s="25">
        <f t="shared" si="522"/>
        <v>0</v>
      </c>
      <c r="FU64" s="25">
        <f t="shared" si="523"/>
        <v>0.21</v>
      </c>
      <c r="FV64" s="25">
        <f t="shared" si="524"/>
        <v>0</v>
      </c>
      <c r="FW64" s="25">
        <f t="shared" si="525"/>
        <v>0.08</v>
      </c>
      <c r="FX64" s="25">
        <f t="shared" si="526"/>
        <v>0</v>
      </c>
      <c r="FY64" s="25">
        <f t="shared" si="527"/>
        <v>0</v>
      </c>
      <c r="FZ64" s="25">
        <f t="shared" si="528"/>
        <v>0.18</v>
      </c>
      <c r="GA64" s="25">
        <f t="shared" si="529"/>
        <v>0</v>
      </c>
      <c r="GB64" s="25">
        <f t="shared" si="530"/>
        <v>0.21</v>
      </c>
      <c r="GC64" s="25">
        <f t="shared" si="531"/>
        <v>0</v>
      </c>
      <c r="GD64" s="25">
        <f t="shared" si="532"/>
        <v>0.11</v>
      </c>
      <c r="GE64" s="25">
        <f t="shared" si="533"/>
        <v>0</v>
      </c>
      <c r="GF64" s="25">
        <f t="shared" si="533"/>
        <v>0</v>
      </c>
      <c r="GG64" s="25">
        <f t="shared" si="533"/>
        <v>0</v>
      </c>
      <c r="GH64" s="25">
        <f t="shared" si="533"/>
        <v>0.07</v>
      </c>
      <c r="GI64" s="25">
        <f t="shared" si="533"/>
        <v>0</v>
      </c>
      <c r="GJ64" s="25">
        <f t="shared" si="533"/>
        <v>0.1</v>
      </c>
      <c r="GK64" s="25">
        <f t="shared" si="533"/>
        <v>0.17</v>
      </c>
      <c r="GL64" s="25">
        <f t="shared" si="533"/>
        <v>0</v>
      </c>
      <c r="GM64" s="25">
        <f t="shared" si="533"/>
        <v>0.18</v>
      </c>
      <c r="GN64" s="25">
        <f t="shared" si="533"/>
        <v>0</v>
      </c>
      <c r="GO64" s="25">
        <f t="shared" si="533"/>
        <v>0.21</v>
      </c>
      <c r="GP64" s="25">
        <f t="shared" si="533"/>
        <v>0.01</v>
      </c>
      <c r="GQ64" s="25">
        <f t="shared" si="533"/>
        <v>0</v>
      </c>
      <c r="GR64" s="25">
        <f t="shared" si="533"/>
        <v>0.1</v>
      </c>
      <c r="GS64" s="25">
        <f t="shared" si="533"/>
        <v>0</v>
      </c>
      <c r="GT64" s="25">
        <f t="shared" si="533"/>
        <v>0</v>
      </c>
      <c r="GU64" s="25">
        <f t="shared" si="533"/>
        <v>0</v>
      </c>
      <c r="GV64" s="25">
        <f t="shared" si="534"/>
        <v>0.12</v>
      </c>
      <c r="GW64" s="25">
        <f t="shared" si="535"/>
        <v>0</v>
      </c>
      <c r="GX64" s="25">
        <f t="shared" si="536"/>
        <v>0</v>
      </c>
      <c r="GY64" s="25">
        <f t="shared" si="537"/>
        <v>0.13</v>
      </c>
      <c r="GZ64" s="25">
        <f t="shared" si="538"/>
        <v>0.14</v>
      </c>
      <c r="HA64" s="25">
        <f t="shared" si="539"/>
        <v>0</v>
      </c>
      <c r="HB64" s="25">
        <f t="shared" si="540"/>
        <v>0.15</v>
      </c>
      <c r="HC64" s="25">
        <f t="shared" si="541"/>
        <v>0.2</v>
      </c>
      <c r="HD64" s="25">
        <f t="shared" si="542"/>
        <v>0.21</v>
      </c>
      <c r="HE64" s="25">
        <f t="shared" si="543"/>
        <v>0</v>
      </c>
      <c r="HF64" s="25">
        <f t="shared" si="544"/>
        <v>0.04</v>
      </c>
      <c r="HG64" s="25">
        <f t="shared" si="545"/>
        <v>0</v>
      </c>
      <c r="HH64" s="25">
        <f t="shared" si="546"/>
        <v>0.21</v>
      </c>
      <c r="HI64" s="25">
        <f t="shared" si="547"/>
        <v>0.11</v>
      </c>
      <c r="HJ64" s="25">
        <f t="shared" si="548"/>
        <v>0</v>
      </c>
      <c r="HK64" s="25">
        <f t="shared" si="549"/>
        <v>0.14</v>
      </c>
      <c r="HL64" s="25">
        <f t="shared" si="550"/>
        <v>0</v>
      </c>
      <c r="HM64" s="25">
        <f t="shared" si="551"/>
        <v>0.21</v>
      </c>
      <c r="HN64" s="25">
        <f t="shared" si="552"/>
        <v>0</v>
      </c>
      <c r="HO64" s="25">
        <f t="shared" si="553"/>
        <v>0</v>
      </c>
      <c r="HP64" s="25">
        <f t="shared" si="554"/>
        <v>0.04</v>
      </c>
      <c r="HQ64" s="25">
        <f t="shared" si="555"/>
        <v>0.08</v>
      </c>
      <c r="HR64" s="25">
        <f t="shared" si="556"/>
        <v>0.12</v>
      </c>
      <c r="HS64" s="25">
        <f t="shared" si="557"/>
        <v>0</v>
      </c>
      <c r="HT64" s="25">
        <f t="shared" si="558"/>
        <v>0</v>
      </c>
      <c r="HU64" s="25">
        <f t="shared" si="559"/>
        <v>0.21</v>
      </c>
      <c r="HV64" s="25">
        <f t="shared" si="560"/>
        <v>0</v>
      </c>
      <c r="HW64" s="25">
        <f t="shared" si="561"/>
        <v>0.14</v>
      </c>
      <c r="HX64" s="25" t="str">
        <f t="shared" si="466"/>
        <v>ELE,CHP</v>
      </c>
      <c r="HY64" s="25" t="str">
        <f t="shared" si="466"/>
        <v>???COA</v>
      </c>
      <c r="HZ64" t="s">
        <v>247</v>
      </c>
      <c r="IA64">
        <f t="shared" si="467"/>
        <v>2030</v>
      </c>
    </row>
    <row r="65" spans="1:235">
      <c r="A65">
        <v>2030</v>
      </c>
      <c r="B65" t="str">
        <f>B54</f>
        <v>UCE_utilization_NGA_LO</v>
      </c>
      <c r="C65" t="s">
        <v>404</v>
      </c>
      <c r="D65" t="str">
        <f>D54</f>
        <v>???NGA</v>
      </c>
      <c r="F65" s="25">
        <f t="shared" ref="F65:BQ65" si="566">ROUND(-F6*$DP$62,2)</f>
        <v>0</v>
      </c>
      <c r="G65" s="25">
        <f t="shared" si="566"/>
        <v>-0.09</v>
      </c>
      <c r="H65" s="25">
        <f t="shared" si="566"/>
        <v>-0.06</v>
      </c>
      <c r="I65" s="25">
        <f t="shared" si="566"/>
        <v>-0.11</v>
      </c>
      <c r="J65" s="25">
        <f t="shared" si="566"/>
        <v>-0.12</v>
      </c>
      <c r="K65" s="25">
        <f t="shared" si="566"/>
        <v>-0.07</v>
      </c>
      <c r="L65" s="25">
        <f t="shared" si="566"/>
        <v>-0.08</v>
      </c>
      <c r="M65" s="25">
        <f t="shared" si="566"/>
        <v>-0.18</v>
      </c>
      <c r="N65" s="25">
        <f t="shared" si="566"/>
        <v>-0.13</v>
      </c>
      <c r="O65" s="25">
        <f t="shared" si="566"/>
        <v>-0.12</v>
      </c>
      <c r="P65" s="25">
        <f t="shared" si="566"/>
        <v>-0.11</v>
      </c>
      <c r="Q65" s="25">
        <f t="shared" si="566"/>
        <v>0</v>
      </c>
      <c r="R65" s="25">
        <f t="shared" si="566"/>
        <v>-0.2</v>
      </c>
      <c r="S65" s="25">
        <f t="shared" si="566"/>
        <v>-0.06</v>
      </c>
      <c r="T65" s="25">
        <f t="shared" si="566"/>
        <v>0</v>
      </c>
      <c r="U65" s="25">
        <f t="shared" si="566"/>
        <v>-0.08</v>
      </c>
      <c r="V65" s="25">
        <f t="shared" si="566"/>
        <v>-0.1</v>
      </c>
      <c r="W65" s="25">
        <f t="shared" si="566"/>
        <v>-0.08</v>
      </c>
      <c r="X65" s="25">
        <f t="shared" si="566"/>
        <v>-0.05</v>
      </c>
      <c r="Y65" s="25">
        <f t="shared" si="566"/>
        <v>-0.11</v>
      </c>
      <c r="Z65" s="25">
        <f t="shared" si="566"/>
        <v>0</v>
      </c>
      <c r="AA65" s="25">
        <f t="shared" si="566"/>
        <v>-0.1</v>
      </c>
      <c r="AB65" s="25">
        <f t="shared" si="566"/>
        <v>-0.03</v>
      </c>
      <c r="AC65" s="25">
        <f t="shared" si="566"/>
        <v>0</v>
      </c>
      <c r="AD65" s="25">
        <f t="shared" si="566"/>
        <v>-0.09</v>
      </c>
      <c r="AE65" s="25">
        <f t="shared" si="566"/>
        <v>-0.07</v>
      </c>
      <c r="AF65" s="25">
        <f t="shared" si="566"/>
        <v>0</v>
      </c>
      <c r="AG65" s="25">
        <f t="shared" si="566"/>
        <v>-0.05</v>
      </c>
      <c r="AH65" s="25">
        <f t="shared" si="566"/>
        <v>-0.12</v>
      </c>
      <c r="AI65" s="25">
        <f t="shared" si="566"/>
        <v>-0.13</v>
      </c>
      <c r="AJ65" s="25">
        <f t="shared" si="566"/>
        <v>-0.15</v>
      </c>
      <c r="AK65" s="25">
        <f t="shared" si="566"/>
        <v>-0.09</v>
      </c>
      <c r="AL65" s="25">
        <f t="shared" si="566"/>
        <v>-0.07</v>
      </c>
      <c r="AM65" s="25">
        <f t="shared" si="566"/>
        <v>-0.08</v>
      </c>
      <c r="AN65" s="25">
        <f t="shared" si="566"/>
        <v>0</v>
      </c>
      <c r="AO65" s="25">
        <f t="shared" si="566"/>
        <v>-0.06</v>
      </c>
      <c r="AP65" s="25">
        <f t="shared" si="566"/>
        <v>-0.08</v>
      </c>
      <c r="AQ65" s="25">
        <f t="shared" si="566"/>
        <v>-0.13</v>
      </c>
      <c r="AR65" s="25">
        <f t="shared" si="566"/>
        <v>-0.07</v>
      </c>
      <c r="AS65" s="25">
        <f t="shared" si="566"/>
        <v>-0.09</v>
      </c>
      <c r="AT65" s="25">
        <f t="shared" si="566"/>
        <v>-0.12</v>
      </c>
      <c r="AU65" s="25">
        <f t="shared" si="566"/>
        <v>-0.08</v>
      </c>
      <c r="AV65" s="25">
        <f t="shared" si="566"/>
        <v>-0.18</v>
      </c>
      <c r="AW65" s="25">
        <f t="shared" si="566"/>
        <v>-0.14</v>
      </c>
      <c r="AX65" s="25">
        <f t="shared" si="566"/>
        <v>-0.18</v>
      </c>
      <c r="AY65" s="25">
        <f t="shared" si="566"/>
        <v>0</v>
      </c>
      <c r="AZ65" s="25">
        <f t="shared" si="566"/>
        <v>0</v>
      </c>
      <c r="BA65" s="25">
        <f t="shared" si="566"/>
        <v>-0.13</v>
      </c>
      <c r="BB65" s="25">
        <f t="shared" si="566"/>
        <v>-0.05</v>
      </c>
      <c r="BC65" s="25">
        <f t="shared" si="566"/>
        <v>-0.09</v>
      </c>
      <c r="BD65" s="25">
        <f t="shared" si="566"/>
        <v>-0.09</v>
      </c>
      <c r="BE65" s="25">
        <f t="shared" si="566"/>
        <v>-0.01</v>
      </c>
      <c r="BF65" s="25">
        <f t="shared" si="566"/>
        <v>-0.11</v>
      </c>
      <c r="BG65" s="25">
        <f t="shared" si="566"/>
        <v>-0.09</v>
      </c>
      <c r="BH65" s="25">
        <f t="shared" si="566"/>
        <v>-0.13</v>
      </c>
      <c r="BI65" s="25">
        <f t="shared" si="566"/>
        <v>-0.13</v>
      </c>
      <c r="BJ65" s="25">
        <f t="shared" si="566"/>
        <v>-0.12</v>
      </c>
      <c r="BK65" s="25">
        <f t="shared" si="566"/>
        <v>-0.17</v>
      </c>
      <c r="BL65" s="25">
        <f t="shared" si="566"/>
        <v>0</v>
      </c>
      <c r="BM65" s="25">
        <f t="shared" si="566"/>
        <v>-0.1</v>
      </c>
      <c r="BN65" s="25">
        <f t="shared" si="566"/>
        <v>-0.14</v>
      </c>
      <c r="BO65" s="25">
        <f t="shared" si="566"/>
        <v>-0.06</v>
      </c>
      <c r="BP65" s="25">
        <f t="shared" si="566"/>
        <v>0</v>
      </c>
      <c r="BQ65" s="25">
        <f t="shared" si="566"/>
        <v>-0.11</v>
      </c>
      <c r="BR65" s="25">
        <f t="shared" ref="BR65:DJ65" si="567">ROUND(-BR6*$DP$62,2)</f>
        <v>-0.13</v>
      </c>
      <c r="BS65" s="25">
        <f t="shared" si="567"/>
        <v>0</v>
      </c>
      <c r="BT65" s="25">
        <f t="shared" si="567"/>
        <v>-0.06</v>
      </c>
      <c r="BU65" s="25">
        <f t="shared" si="567"/>
        <v>-0.01</v>
      </c>
      <c r="BV65" s="25">
        <f t="shared" si="567"/>
        <v>-0.07</v>
      </c>
      <c r="BW65" s="25">
        <f t="shared" si="567"/>
        <v>-0.08</v>
      </c>
      <c r="BX65" s="25">
        <f t="shared" si="567"/>
        <v>-0.1</v>
      </c>
      <c r="BY65" s="25">
        <f t="shared" si="567"/>
        <v>0</v>
      </c>
      <c r="BZ65" s="25">
        <f t="shared" si="567"/>
        <v>-0.11</v>
      </c>
      <c r="CA65" s="25">
        <f t="shared" si="567"/>
        <v>-0.08</v>
      </c>
      <c r="CB65" s="25">
        <f t="shared" si="567"/>
        <v>-0.09</v>
      </c>
      <c r="CC65" s="25">
        <f t="shared" si="567"/>
        <v>-0.13</v>
      </c>
      <c r="CD65" s="25">
        <f t="shared" si="567"/>
        <v>-0.18</v>
      </c>
      <c r="CE65" s="25">
        <f t="shared" si="567"/>
        <v>-0.19</v>
      </c>
      <c r="CF65" s="25">
        <f t="shared" si="567"/>
        <v>-0.08</v>
      </c>
      <c r="CG65" s="25">
        <f t="shared" si="567"/>
        <v>0</v>
      </c>
      <c r="CH65" s="25">
        <f t="shared" si="567"/>
        <v>-0.06</v>
      </c>
      <c r="CI65" s="25">
        <f t="shared" si="567"/>
        <v>-0.11</v>
      </c>
      <c r="CJ65" s="25">
        <f t="shared" si="567"/>
        <v>-0.07</v>
      </c>
      <c r="CK65" s="25">
        <f t="shared" si="567"/>
        <v>-0.03</v>
      </c>
      <c r="CL65" s="25">
        <f t="shared" si="567"/>
        <v>-0.12</v>
      </c>
      <c r="CM65" s="25">
        <f t="shared" si="567"/>
        <v>-0.08</v>
      </c>
      <c r="CN65" s="25">
        <f t="shared" si="567"/>
        <v>-0.03</v>
      </c>
      <c r="CO65" s="25">
        <f t="shared" si="567"/>
        <v>0</v>
      </c>
      <c r="CP65" s="25">
        <f t="shared" si="567"/>
        <v>-0.1</v>
      </c>
      <c r="CQ65" s="25">
        <f t="shared" si="567"/>
        <v>-0.06</v>
      </c>
      <c r="CR65" s="25">
        <f t="shared" si="567"/>
        <v>0</v>
      </c>
      <c r="CS65" s="25">
        <f t="shared" si="567"/>
        <v>-0.01</v>
      </c>
      <c r="CT65" s="25">
        <f t="shared" si="567"/>
        <v>-0.04</v>
      </c>
      <c r="CU65" s="25">
        <f t="shared" si="567"/>
        <v>-0.15</v>
      </c>
      <c r="CV65" s="25">
        <f t="shared" si="567"/>
        <v>-0.03</v>
      </c>
      <c r="CW65" s="25">
        <f t="shared" si="567"/>
        <v>-0.14</v>
      </c>
      <c r="CX65" s="25">
        <f t="shared" si="567"/>
        <v>-0.07</v>
      </c>
      <c r="CY65" s="25">
        <f t="shared" si="567"/>
        <v>-0.15</v>
      </c>
      <c r="CZ65" s="25">
        <f t="shared" si="567"/>
        <v>-0.06</v>
      </c>
      <c r="DA65" s="25">
        <f t="shared" si="567"/>
        <v>-0.08</v>
      </c>
      <c r="DB65" s="25">
        <f t="shared" si="567"/>
        <v>-0.1</v>
      </c>
      <c r="DC65" s="25">
        <f t="shared" si="567"/>
        <v>-0.1</v>
      </c>
      <c r="DD65" s="25">
        <f t="shared" si="567"/>
        <v>-0.14</v>
      </c>
      <c r="DE65" s="25">
        <f t="shared" si="567"/>
        <v>-0.1</v>
      </c>
      <c r="DF65" s="25">
        <f t="shared" si="567"/>
        <v>-0.14</v>
      </c>
      <c r="DG65" s="25">
        <f t="shared" si="567"/>
        <v>-0.06</v>
      </c>
      <c r="DH65" s="25">
        <f t="shared" si="567"/>
        <v>-0.15</v>
      </c>
      <c r="DI65" s="25">
        <f t="shared" si="567"/>
        <v>-0.02</v>
      </c>
      <c r="DJ65" s="25">
        <f t="shared" si="567"/>
        <v>0</v>
      </c>
      <c r="DK65" s="7">
        <f t="shared" si="564"/>
        <v>0.0317097919837646</v>
      </c>
      <c r="DL65">
        <v>0</v>
      </c>
      <c r="DM65">
        <v>5</v>
      </c>
      <c r="DS65" s="25">
        <f t="shared" si="565"/>
        <v>0</v>
      </c>
      <c r="DT65" s="25">
        <f t="shared" si="470"/>
        <v>0.09</v>
      </c>
      <c r="DU65" s="25">
        <f t="shared" si="471"/>
        <v>0.06</v>
      </c>
      <c r="DV65" s="25">
        <f t="shared" si="472"/>
        <v>0.11</v>
      </c>
      <c r="DW65" s="25">
        <f t="shared" si="473"/>
        <v>0.12</v>
      </c>
      <c r="DX65" s="25">
        <f t="shared" si="474"/>
        <v>0.07</v>
      </c>
      <c r="DY65" s="25">
        <f t="shared" si="475"/>
        <v>0.08</v>
      </c>
      <c r="DZ65" s="25">
        <f t="shared" si="476"/>
        <v>0.18</v>
      </c>
      <c r="EA65" s="25">
        <f t="shared" si="477"/>
        <v>0.13</v>
      </c>
      <c r="EB65" s="25">
        <f t="shared" si="478"/>
        <v>0.12</v>
      </c>
      <c r="EC65" s="25">
        <f t="shared" si="479"/>
        <v>0.11</v>
      </c>
      <c r="ED65" s="25">
        <f t="shared" si="480"/>
        <v>0</v>
      </c>
      <c r="EE65" s="25">
        <f t="shared" si="481"/>
        <v>0.2</v>
      </c>
      <c r="EF65" s="25">
        <f t="shared" si="482"/>
        <v>0.06</v>
      </c>
      <c r="EG65" s="25">
        <f t="shared" si="483"/>
        <v>0</v>
      </c>
      <c r="EH65" s="25">
        <f t="shared" si="484"/>
        <v>0.08</v>
      </c>
      <c r="EI65" s="25">
        <f t="shared" si="485"/>
        <v>0.1</v>
      </c>
      <c r="EJ65" s="25">
        <f t="shared" si="486"/>
        <v>0.08</v>
      </c>
      <c r="EK65" s="25">
        <f t="shared" si="487"/>
        <v>0.05</v>
      </c>
      <c r="EL65" s="25">
        <f t="shared" si="488"/>
        <v>0.11</v>
      </c>
      <c r="EM65" s="25">
        <f t="shared" si="489"/>
        <v>0</v>
      </c>
      <c r="EN65" s="25">
        <f t="shared" si="490"/>
        <v>0.1</v>
      </c>
      <c r="EO65" s="25">
        <f t="shared" si="491"/>
        <v>0.03</v>
      </c>
      <c r="EP65" s="25">
        <f t="shared" si="492"/>
        <v>0</v>
      </c>
      <c r="EQ65" s="25">
        <f t="shared" si="493"/>
        <v>0.09</v>
      </c>
      <c r="ER65" s="25">
        <f t="shared" si="494"/>
        <v>0.07</v>
      </c>
      <c r="ES65" s="25">
        <f t="shared" si="495"/>
        <v>0</v>
      </c>
      <c r="ET65" s="25">
        <f t="shared" si="496"/>
        <v>0.05</v>
      </c>
      <c r="EU65" s="25">
        <f t="shared" si="497"/>
        <v>0.12</v>
      </c>
      <c r="EV65" s="25">
        <f t="shared" si="498"/>
        <v>0.13</v>
      </c>
      <c r="EW65" s="25">
        <f t="shared" si="499"/>
        <v>0.15</v>
      </c>
      <c r="EX65" s="25">
        <f t="shared" si="500"/>
        <v>0.09</v>
      </c>
      <c r="EY65" s="25">
        <f t="shared" si="501"/>
        <v>0.07</v>
      </c>
      <c r="EZ65" s="25">
        <f t="shared" si="502"/>
        <v>0.08</v>
      </c>
      <c r="FA65" s="25">
        <f t="shared" si="503"/>
        <v>0</v>
      </c>
      <c r="FB65" s="25">
        <f t="shared" si="504"/>
        <v>0.06</v>
      </c>
      <c r="FC65" s="25">
        <f t="shared" si="505"/>
        <v>0.08</v>
      </c>
      <c r="FD65" s="25">
        <f t="shared" si="506"/>
        <v>0.13</v>
      </c>
      <c r="FE65" s="25">
        <f t="shared" si="507"/>
        <v>0.07</v>
      </c>
      <c r="FF65" s="25">
        <f t="shared" si="508"/>
        <v>0.09</v>
      </c>
      <c r="FG65" s="25">
        <f t="shared" si="509"/>
        <v>0.12</v>
      </c>
      <c r="FH65" s="25">
        <f t="shared" si="510"/>
        <v>0.08</v>
      </c>
      <c r="FI65" s="25">
        <f t="shared" si="511"/>
        <v>0.18</v>
      </c>
      <c r="FJ65" s="25">
        <f t="shared" si="512"/>
        <v>0.14</v>
      </c>
      <c r="FK65" s="25">
        <f t="shared" si="513"/>
        <v>0.18</v>
      </c>
      <c r="FL65" s="25">
        <f t="shared" si="514"/>
        <v>0</v>
      </c>
      <c r="FM65" s="25">
        <f t="shared" si="515"/>
        <v>0</v>
      </c>
      <c r="FN65" s="25">
        <f t="shared" si="516"/>
        <v>0.13</v>
      </c>
      <c r="FO65" s="25">
        <f t="shared" si="517"/>
        <v>0.05</v>
      </c>
      <c r="FP65" s="25">
        <f t="shared" si="518"/>
        <v>0.09</v>
      </c>
      <c r="FQ65" s="25">
        <f t="shared" si="519"/>
        <v>0.09</v>
      </c>
      <c r="FR65" s="25">
        <f t="shared" si="520"/>
        <v>0.01</v>
      </c>
      <c r="FS65" s="25">
        <f t="shared" si="521"/>
        <v>0.11</v>
      </c>
      <c r="FT65" s="25">
        <f t="shared" si="522"/>
        <v>0.09</v>
      </c>
      <c r="FU65" s="25">
        <f t="shared" si="523"/>
        <v>0.13</v>
      </c>
      <c r="FV65" s="25">
        <f t="shared" si="524"/>
        <v>0.13</v>
      </c>
      <c r="FW65" s="25">
        <f t="shared" si="525"/>
        <v>0.12</v>
      </c>
      <c r="FX65" s="25">
        <f t="shared" si="526"/>
        <v>0.17</v>
      </c>
      <c r="FY65" s="25">
        <f t="shared" si="527"/>
        <v>0</v>
      </c>
      <c r="FZ65" s="25">
        <f t="shared" si="528"/>
        <v>0.1</v>
      </c>
      <c r="GA65" s="25">
        <f t="shared" si="529"/>
        <v>0.14</v>
      </c>
      <c r="GB65" s="25">
        <f t="shared" si="530"/>
        <v>0.06</v>
      </c>
      <c r="GC65" s="25">
        <f t="shared" si="531"/>
        <v>0</v>
      </c>
      <c r="GD65" s="25">
        <f t="shared" si="532"/>
        <v>0.11</v>
      </c>
      <c r="GE65" s="25">
        <f t="shared" si="533"/>
        <v>0.13</v>
      </c>
      <c r="GF65" s="25">
        <f t="shared" si="533"/>
        <v>0</v>
      </c>
      <c r="GG65" s="25">
        <f t="shared" si="533"/>
        <v>0.06</v>
      </c>
      <c r="GH65" s="25">
        <f t="shared" si="533"/>
        <v>0.01</v>
      </c>
      <c r="GI65" s="25">
        <f t="shared" si="533"/>
        <v>0.07</v>
      </c>
      <c r="GJ65" s="25">
        <f t="shared" si="533"/>
        <v>0.08</v>
      </c>
      <c r="GK65" s="25">
        <f t="shared" si="533"/>
        <v>0.1</v>
      </c>
      <c r="GL65" s="25">
        <f t="shared" si="533"/>
        <v>0</v>
      </c>
      <c r="GM65" s="25">
        <f t="shared" si="533"/>
        <v>0.11</v>
      </c>
      <c r="GN65" s="25">
        <f t="shared" si="533"/>
        <v>0.08</v>
      </c>
      <c r="GO65" s="25">
        <f t="shared" si="533"/>
        <v>0.09</v>
      </c>
      <c r="GP65" s="25">
        <f t="shared" si="533"/>
        <v>0.13</v>
      </c>
      <c r="GQ65" s="25">
        <f t="shared" si="533"/>
        <v>0.18</v>
      </c>
      <c r="GR65" s="25">
        <f t="shared" si="533"/>
        <v>0.19</v>
      </c>
      <c r="GS65" s="25">
        <f t="shared" si="533"/>
        <v>0.08</v>
      </c>
      <c r="GT65" s="25">
        <f t="shared" si="533"/>
        <v>0</v>
      </c>
      <c r="GU65" s="25">
        <f t="shared" si="533"/>
        <v>0.06</v>
      </c>
      <c r="GV65" s="25">
        <f t="shared" si="534"/>
        <v>0.11</v>
      </c>
      <c r="GW65" s="25">
        <f t="shared" si="535"/>
        <v>0.07</v>
      </c>
      <c r="GX65" s="25">
        <f t="shared" si="536"/>
        <v>0.03</v>
      </c>
      <c r="GY65" s="25">
        <f t="shared" si="537"/>
        <v>0.12</v>
      </c>
      <c r="GZ65" s="25">
        <f t="shared" si="538"/>
        <v>0.08</v>
      </c>
      <c r="HA65" s="25">
        <f t="shared" si="539"/>
        <v>0.03</v>
      </c>
      <c r="HB65" s="25">
        <f t="shared" si="540"/>
        <v>0</v>
      </c>
      <c r="HC65" s="25">
        <f t="shared" si="541"/>
        <v>0.1</v>
      </c>
      <c r="HD65" s="25">
        <f t="shared" si="542"/>
        <v>0.06</v>
      </c>
      <c r="HE65" s="25">
        <f t="shared" si="543"/>
        <v>0</v>
      </c>
      <c r="HF65" s="25">
        <f t="shared" si="544"/>
        <v>0.01</v>
      </c>
      <c r="HG65" s="25">
        <f t="shared" si="545"/>
        <v>0.04</v>
      </c>
      <c r="HH65" s="25">
        <f t="shared" si="546"/>
        <v>0.15</v>
      </c>
      <c r="HI65" s="25">
        <f t="shared" si="547"/>
        <v>0.03</v>
      </c>
      <c r="HJ65" s="25">
        <f t="shared" si="548"/>
        <v>0.14</v>
      </c>
      <c r="HK65" s="25">
        <f t="shared" si="549"/>
        <v>0.07</v>
      </c>
      <c r="HL65" s="25">
        <f t="shared" si="550"/>
        <v>0.15</v>
      </c>
      <c r="HM65" s="25">
        <f t="shared" si="551"/>
        <v>0.06</v>
      </c>
      <c r="HN65" s="25">
        <f t="shared" si="552"/>
        <v>0.08</v>
      </c>
      <c r="HO65" s="25">
        <f t="shared" si="553"/>
        <v>0.1</v>
      </c>
      <c r="HP65" s="25">
        <f t="shared" si="554"/>
        <v>0.1</v>
      </c>
      <c r="HQ65" s="25">
        <f t="shared" si="555"/>
        <v>0.14</v>
      </c>
      <c r="HR65" s="25">
        <f t="shared" si="556"/>
        <v>0.1</v>
      </c>
      <c r="HS65" s="25">
        <f t="shared" si="557"/>
        <v>0.14</v>
      </c>
      <c r="HT65" s="25">
        <f t="shared" si="558"/>
        <v>0.06</v>
      </c>
      <c r="HU65" s="25">
        <f t="shared" si="559"/>
        <v>0.15</v>
      </c>
      <c r="HV65" s="25">
        <f t="shared" si="560"/>
        <v>0.02</v>
      </c>
      <c r="HW65" s="25">
        <f t="shared" si="561"/>
        <v>0</v>
      </c>
      <c r="HX65" s="25" t="str">
        <f t="shared" si="466"/>
        <v>ELE,CHP</v>
      </c>
      <c r="HY65" s="25" t="str">
        <f t="shared" si="466"/>
        <v>???NGA</v>
      </c>
      <c r="HZ65" t="s">
        <v>247</v>
      </c>
      <c r="IA65">
        <f t="shared" si="467"/>
        <v>2030</v>
      </c>
    </row>
    <row r="66" spans="1:235">
      <c r="A66">
        <v>2030</v>
      </c>
      <c r="B66" t="str">
        <f>B55</f>
        <v>UCE_utilization_OIL_LO</v>
      </c>
      <c r="C66" t="s">
        <v>404</v>
      </c>
      <c r="D66" t="str">
        <f>D55</f>
        <v>???OIL</v>
      </c>
      <c r="F66" s="25">
        <f t="shared" ref="F66:BQ66" si="568">ROUND(-F7*$DP$62,2)</f>
        <v>0</v>
      </c>
      <c r="G66" s="25">
        <f t="shared" si="568"/>
        <v>0</v>
      </c>
      <c r="H66" s="25">
        <f t="shared" si="568"/>
        <v>-0.07</v>
      </c>
      <c r="I66" s="25">
        <f t="shared" si="568"/>
        <v>-0.01</v>
      </c>
      <c r="J66" s="25">
        <f t="shared" si="568"/>
        <v>0</v>
      </c>
      <c r="K66" s="25">
        <f t="shared" si="568"/>
        <v>-0.01</v>
      </c>
      <c r="L66" s="25">
        <f t="shared" si="568"/>
        <v>0</v>
      </c>
      <c r="M66" s="25">
        <f t="shared" si="568"/>
        <v>0</v>
      </c>
      <c r="N66" s="25">
        <f t="shared" si="568"/>
        <v>-0.06</v>
      </c>
      <c r="O66" s="25">
        <f t="shared" si="568"/>
        <v>0</v>
      </c>
      <c r="P66" s="25">
        <f t="shared" si="568"/>
        <v>-0.01</v>
      </c>
      <c r="Q66" s="25">
        <f t="shared" si="568"/>
        <v>-0.05</v>
      </c>
      <c r="R66" s="25">
        <f t="shared" si="568"/>
        <v>-0.01</v>
      </c>
      <c r="S66" s="25">
        <f t="shared" si="568"/>
        <v>-0.09</v>
      </c>
      <c r="T66" s="25">
        <f t="shared" si="568"/>
        <v>-0.04</v>
      </c>
      <c r="U66" s="25">
        <f t="shared" si="568"/>
        <v>-0.03</v>
      </c>
      <c r="V66" s="25">
        <f t="shared" si="568"/>
        <v>-0.06</v>
      </c>
      <c r="W66" s="25">
        <f t="shared" si="568"/>
        <v>-0.01</v>
      </c>
      <c r="X66" s="25">
        <f t="shared" si="568"/>
        <v>0</v>
      </c>
      <c r="Y66" s="25">
        <f t="shared" si="568"/>
        <v>0</v>
      </c>
      <c r="Z66" s="25">
        <f t="shared" si="568"/>
        <v>-0.07</v>
      </c>
      <c r="AA66" s="25">
        <f t="shared" si="568"/>
        <v>-0.02</v>
      </c>
      <c r="AB66" s="25">
        <f t="shared" si="568"/>
        <v>0</v>
      </c>
      <c r="AC66" s="25">
        <f t="shared" si="568"/>
        <v>0</v>
      </c>
      <c r="AD66" s="25">
        <f t="shared" si="568"/>
        <v>-0.1</v>
      </c>
      <c r="AE66" s="25">
        <f t="shared" si="568"/>
        <v>0</v>
      </c>
      <c r="AF66" s="25">
        <f t="shared" si="568"/>
        <v>0</v>
      </c>
      <c r="AG66" s="25">
        <f t="shared" si="568"/>
        <v>-0.01</v>
      </c>
      <c r="AH66" s="25">
        <f t="shared" si="568"/>
        <v>-0.21</v>
      </c>
      <c r="AI66" s="25">
        <f t="shared" si="568"/>
        <v>0</v>
      </c>
      <c r="AJ66" s="25">
        <f t="shared" si="568"/>
        <v>-0.04</v>
      </c>
      <c r="AK66" s="25">
        <f t="shared" si="568"/>
        <v>-0.21</v>
      </c>
      <c r="AL66" s="25">
        <f t="shared" si="568"/>
        <v>-0.11</v>
      </c>
      <c r="AM66" s="25">
        <f t="shared" si="568"/>
        <v>-0.01</v>
      </c>
      <c r="AN66" s="25">
        <f t="shared" si="568"/>
        <v>0</v>
      </c>
      <c r="AO66" s="25">
        <f t="shared" si="568"/>
        <v>-0.02</v>
      </c>
      <c r="AP66" s="25">
        <f t="shared" si="568"/>
        <v>-0.01</v>
      </c>
      <c r="AQ66" s="25">
        <f t="shared" si="568"/>
        <v>-0.11</v>
      </c>
      <c r="AR66" s="25">
        <f t="shared" si="568"/>
        <v>-0.04</v>
      </c>
      <c r="AS66" s="25">
        <f t="shared" si="568"/>
        <v>-0.01</v>
      </c>
      <c r="AT66" s="25">
        <f t="shared" si="568"/>
        <v>-0.03</v>
      </c>
      <c r="AU66" s="25">
        <f t="shared" si="568"/>
        <v>-0.09</v>
      </c>
      <c r="AV66" s="25">
        <f t="shared" si="568"/>
        <v>0</v>
      </c>
      <c r="AW66" s="25">
        <f t="shared" si="568"/>
        <v>-0.03</v>
      </c>
      <c r="AX66" s="25">
        <f t="shared" si="568"/>
        <v>0</v>
      </c>
      <c r="AY66" s="25">
        <f t="shared" si="568"/>
        <v>-0.02</v>
      </c>
      <c r="AZ66" s="25">
        <f t="shared" si="568"/>
        <v>-0.06</v>
      </c>
      <c r="BA66" s="25">
        <f t="shared" si="568"/>
        <v>-0.21</v>
      </c>
      <c r="BB66" s="25">
        <f t="shared" si="568"/>
        <v>-0.21</v>
      </c>
      <c r="BC66" s="25">
        <f t="shared" si="568"/>
        <v>0</v>
      </c>
      <c r="BD66" s="25">
        <f t="shared" si="568"/>
        <v>-0.21</v>
      </c>
      <c r="BE66" s="25">
        <f t="shared" si="568"/>
        <v>0</v>
      </c>
      <c r="BF66" s="25">
        <f t="shared" si="568"/>
        <v>0</v>
      </c>
      <c r="BG66" s="25">
        <f t="shared" si="568"/>
        <v>-0.01</v>
      </c>
      <c r="BH66" s="25">
        <f t="shared" si="568"/>
        <v>0</v>
      </c>
      <c r="BI66" s="25">
        <f t="shared" si="568"/>
        <v>0</v>
      </c>
      <c r="BJ66" s="25">
        <f t="shared" si="568"/>
        <v>-0.09</v>
      </c>
      <c r="BK66" s="25">
        <f t="shared" si="568"/>
        <v>0</v>
      </c>
      <c r="BL66" s="25">
        <f t="shared" si="568"/>
        <v>0</v>
      </c>
      <c r="BM66" s="25">
        <f t="shared" si="568"/>
        <v>-0.01</v>
      </c>
      <c r="BN66" s="25">
        <f t="shared" si="568"/>
        <v>-0.03</v>
      </c>
      <c r="BO66" s="25">
        <f t="shared" si="568"/>
        <v>0</v>
      </c>
      <c r="BP66" s="25">
        <f t="shared" si="568"/>
        <v>0</v>
      </c>
      <c r="BQ66" s="25">
        <f t="shared" si="568"/>
        <v>0</v>
      </c>
      <c r="BR66" s="25">
        <f t="shared" ref="BR66:DJ66" si="569">ROUND(-BR7*$DP$62,2)</f>
        <v>0</v>
      </c>
      <c r="BS66" s="25">
        <f t="shared" si="569"/>
        <v>-0.06</v>
      </c>
      <c r="BT66" s="25">
        <f t="shared" si="569"/>
        <v>0</v>
      </c>
      <c r="BU66" s="25">
        <f t="shared" si="569"/>
        <v>0</v>
      </c>
      <c r="BV66" s="25">
        <f t="shared" si="569"/>
        <v>0</v>
      </c>
      <c r="BW66" s="25">
        <f t="shared" si="569"/>
        <v>-0.07</v>
      </c>
      <c r="BX66" s="25">
        <f t="shared" si="569"/>
        <v>-0.09</v>
      </c>
      <c r="BY66" s="25">
        <f t="shared" si="569"/>
        <v>0</v>
      </c>
      <c r="BZ66" s="25">
        <f t="shared" si="569"/>
        <v>-0.09</v>
      </c>
      <c r="CA66" s="25">
        <f t="shared" si="569"/>
        <v>-0.15</v>
      </c>
      <c r="CB66" s="25">
        <f t="shared" si="569"/>
        <v>-0.04</v>
      </c>
      <c r="CC66" s="25">
        <f t="shared" si="569"/>
        <v>-0.02</v>
      </c>
      <c r="CD66" s="25">
        <f t="shared" si="569"/>
        <v>-0.04</v>
      </c>
      <c r="CE66" s="25">
        <f t="shared" si="569"/>
        <v>0</v>
      </c>
      <c r="CF66" s="25">
        <f t="shared" si="569"/>
        <v>-0.06</v>
      </c>
      <c r="CG66" s="25">
        <f t="shared" si="569"/>
        <v>0</v>
      </c>
      <c r="CH66" s="25">
        <f t="shared" si="569"/>
        <v>0</v>
      </c>
      <c r="CI66" s="25">
        <f t="shared" si="569"/>
        <v>-0.03</v>
      </c>
      <c r="CJ66" s="25">
        <f t="shared" si="569"/>
        <v>-0.18</v>
      </c>
      <c r="CK66" s="25">
        <f t="shared" si="569"/>
        <v>0</v>
      </c>
      <c r="CL66" s="25">
        <f t="shared" si="569"/>
        <v>0</v>
      </c>
      <c r="CM66" s="25">
        <f t="shared" si="569"/>
        <v>0</v>
      </c>
      <c r="CN66" s="25">
        <f t="shared" si="569"/>
        <v>0</v>
      </c>
      <c r="CO66" s="25">
        <f t="shared" si="569"/>
        <v>-0.01</v>
      </c>
      <c r="CP66" s="25">
        <f t="shared" si="569"/>
        <v>-0.04</v>
      </c>
      <c r="CQ66" s="25">
        <f t="shared" si="569"/>
        <v>-0.13</v>
      </c>
      <c r="CR66" s="25">
        <f t="shared" si="569"/>
        <v>-0.1</v>
      </c>
      <c r="CS66" s="25">
        <f t="shared" si="569"/>
        <v>0</v>
      </c>
      <c r="CT66" s="25">
        <f t="shared" si="569"/>
        <v>0</v>
      </c>
      <c r="CU66" s="25">
        <f t="shared" si="569"/>
        <v>-0.09</v>
      </c>
      <c r="CV66" s="25">
        <f t="shared" si="569"/>
        <v>0</v>
      </c>
      <c r="CW66" s="25">
        <f t="shared" si="569"/>
        <v>0</v>
      </c>
      <c r="CX66" s="25">
        <f t="shared" si="569"/>
        <v>-0.21</v>
      </c>
      <c r="CY66" s="25">
        <f t="shared" si="569"/>
        <v>0</v>
      </c>
      <c r="CZ66" s="25">
        <f t="shared" si="569"/>
        <v>0</v>
      </c>
      <c r="DA66" s="25">
        <f t="shared" si="569"/>
        <v>0</v>
      </c>
      <c r="DB66" s="25">
        <f t="shared" si="569"/>
        <v>-0.01</v>
      </c>
      <c r="DC66" s="25">
        <f t="shared" si="569"/>
        <v>-0.04</v>
      </c>
      <c r="DD66" s="25">
        <f t="shared" si="569"/>
        <v>0</v>
      </c>
      <c r="DE66" s="25">
        <f t="shared" si="569"/>
        <v>-0.01</v>
      </c>
      <c r="DF66" s="25">
        <f t="shared" si="569"/>
        <v>-0.05</v>
      </c>
      <c r="DG66" s="25">
        <f t="shared" si="569"/>
        <v>-0.02</v>
      </c>
      <c r="DH66" s="25">
        <f t="shared" si="569"/>
        <v>-0.02</v>
      </c>
      <c r="DI66" s="25">
        <f t="shared" si="569"/>
        <v>-0.08</v>
      </c>
      <c r="DJ66" s="25">
        <f t="shared" si="569"/>
        <v>-0.16</v>
      </c>
      <c r="DK66" s="7">
        <f t="shared" si="564"/>
        <v>0.0317097919837646</v>
      </c>
      <c r="DL66">
        <v>0</v>
      </c>
      <c r="DM66">
        <v>5</v>
      </c>
      <c r="DS66" s="25">
        <f t="shared" si="565"/>
        <v>0</v>
      </c>
      <c r="DT66" s="25">
        <f t="shared" si="470"/>
        <v>0</v>
      </c>
      <c r="DU66" s="25">
        <f t="shared" si="471"/>
        <v>0.07</v>
      </c>
      <c r="DV66" s="25">
        <f t="shared" si="472"/>
        <v>0.01</v>
      </c>
      <c r="DW66" s="25">
        <f t="shared" si="473"/>
        <v>0</v>
      </c>
      <c r="DX66" s="25">
        <f t="shared" si="474"/>
        <v>0.01</v>
      </c>
      <c r="DY66" s="25">
        <f t="shared" si="475"/>
        <v>0</v>
      </c>
      <c r="DZ66" s="25">
        <f t="shared" si="476"/>
        <v>0</v>
      </c>
      <c r="EA66" s="25">
        <f t="shared" si="477"/>
        <v>0.06</v>
      </c>
      <c r="EB66" s="25">
        <f t="shared" si="478"/>
        <v>0</v>
      </c>
      <c r="EC66" s="25">
        <f t="shared" si="479"/>
        <v>0.01</v>
      </c>
      <c r="ED66" s="25">
        <f t="shared" si="480"/>
        <v>0.05</v>
      </c>
      <c r="EE66" s="25">
        <f t="shared" si="481"/>
        <v>0.01</v>
      </c>
      <c r="EF66" s="25">
        <f t="shared" si="482"/>
        <v>0.09</v>
      </c>
      <c r="EG66" s="25">
        <f t="shared" si="483"/>
        <v>0.04</v>
      </c>
      <c r="EH66" s="25">
        <f t="shared" si="484"/>
        <v>0.03</v>
      </c>
      <c r="EI66" s="25">
        <f t="shared" si="485"/>
        <v>0.06</v>
      </c>
      <c r="EJ66" s="25">
        <f t="shared" si="486"/>
        <v>0.01</v>
      </c>
      <c r="EK66" s="25">
        <f t="shared" si="487"/>
        <v>0</v>
      </c>
      <c r="EL66" s="25">
        <f t="shared" si="488"/>
        <v>0</v>
      </c>
      <c r="EM66" s="25">
        <f t="shared" si="489"/>
        <v>0.07</v>
      </c>
      <c r="EN66" s="25">
        <f t="shared" si="490"/>
        <v>0.02</v>
      </c>
      <c r="EO66" s="25">
        <f t="shared" si="491"/>
        <v>0</v>
      </c>
      <c r="EP66" s="25">
        <f t="shared" si="492"/>
        <v>0</v>
      </c>
      <c r="EQ66" s="25">
        <f t="shared" si="493"/>
        <v>0.1</v>
      </c>
      <c r="ER66" s="25">
        <f t="shared" si="494"/>
        <v>0</v>
      </c>
      <c r="ES66" s="25">
        <f t="shared" si="495"/>
        <v>0</v>
      </c>
      <c r="ET66" s="25">
        <f t="shared" si="496"/>
        <v>0.01</v>
      </c>
      <c r="EU66" s="25">
        <f t="shared" si="497"/>
        <v>0.21</v>
      </c>
      <c r="EV66" s="25">
        <f t="shared" si="498"/>
        <v>0</v>
      </c>
      <c r="EW66" s="25">
        <f t="shared" si="499"/>
        <v>0.04</v>
      </c>
      <c r="EX66" s="25">
        <f t="shared" si="500"/>
        <v>0.21</v>
      </c>
      <c r="EY66" s="25">
        <f t="shared" si="501"/>
        <v>0.11</v>
      </c>
      <c r="EZ66" s="25">
        <f t="shared" si="502"/>
        <v>0.01</v>
      </c>
      <c r="FA66" s="25">
        <f t="shared" si="503"/>
        <v>0</v>
      </c>
      <c r="FB66" s="25">
        <f t="shared" si="504"/>
        <v>0.02</v>
      </c>
      <c r="FC66" s="25">
        <f t="shared" si="505"/>
        <v>0.01</v>
      </c>
      <c r="FD66" s="25">
        <f t="shared" si="506"/>
        <v>0.11</v>
      </c>
      <c r="FE66" s="25">
        <f t="shared" si="507"/>
        <v>0.04</v>
      </c>
      <c r="FF66" s="25">
        <f t="shared" si="508"/>
        <v>0.01</v>
      </c>
      <c r="FG66" s="25">
        <f t="shared" si="509"/>
        <v>0.03</v>
      </c>
      <c r="FH66" s="25">
        <f t="shared" si="510"/>
        <v>0.09</v>
      </c>
      <c r="FI66" s="25">
        <f t="shared" si="511"/>
        <v>0</v>
      </c>
      <c r="FJ66" s="25">
        <f t="shared" si="512"/>
        <v>0.03</v>
      </c>
      <c r="FK66" s="25">
        <f t="shared" si="513"/>
        <v>0</v>
      </c>
      <c r="FL66" s="25">
        <f t="shared" si="514"/>
        <v>0.02</v>
      </c>
      <c r="FM66" s="25">
        <f t="shared" si="515"/>
        <v>0.06</v>
      </c>
      <c r="FN66" s="25">
        <f t="shared" si="516"/>
        <v>0.21</v>
      </c>
      <c r="FO66" s="25">
        <f t="shared" si="517"/>
        <v>0.21</v>
      </c>
      <c r="FP66" s="25">
        <f t="shared" si="518"/>
        <v>0</v>
      </c>
      <c r="FQ66" s="25">
        <f t="shared" si="519"/>
        <v>0.21</v>
      </c>
      <c r="FR66" s="25">
        <f t="shared" si="520"/>
        <v>0</v>
      </c>
      <c r="FS66" s="25">
        <f t="shared" si="521"/>
        <v>0</v>
      </c>
      <c r="FT66" s="25">
        <f t="shared" si="522"/>
        <v>0.01</v>
      </c>
      <c r="FU66" s="25">
        <f t="shared" si="523"/>
        <v>0</v>
      </c>
      <c r="FV66" s="25">
        <f t="shared" si="524"/>
        <v>0</v>
      </c>
      <c r="FW66" s="25">
        <f t="shared" si="525"/>
        <v>0.09</v>
      </c>
      <c r="FX66" s="25">
        <f t="shared" si="526"/>
        <v>0</v>
      </c>
      <c r="FY66" s="25">
        <f t="shared" si="527"/>
        <v>0</v>
      </c>
      <c r="FZ66" s="25">
        <f t="shared" si="528"/>
        <v>0.01</v>
      </c>
      <c r="GA66" s="25">
        <f t="shared" si="529"/>
        <v>0.03</v>
      </c>
      <c r="GB66" s="25">
        <f t="shared" si="530"/>
        <v>0</v>
      </c>
      <c r="GC66" s="25">
        <f t="shared" si="531"/>
        <v>0</v>
      </c>
      <c r="GD66" s="25">
        <f t="shared" si="532"/>
        <v>0</v>
      </c>
      <c r="GE66" s="25">
        <f t="shared" si="533"/>
        <v>0</v>
      </c>
      <c r="GF66" s="25">
        <f t="shared" si="533"/>
        <v>0.06</v>
      </c>
      <c r="GG66" s="25">
        <f t="shared" si="533"/>
        <v>0</v>
      </c>
      <c r="GH66" s="25">
        <f t="shared" si="533"/>
        <v>0</v>
      </c>
      <c r="GI66" s="25">
        <f t="shared" si="533"/>
        <v>0</v>
      </c>
      <c r="GJ66" s="25">
        <f t="shared" si="533"/>
        <v>0.07</v>
      </c>
      <c r="GK66" s="25">
        <f t="shared" si="533"/>
        <v>0.09</v>
      </c>
      <c r="GL66" s="25">
        <f t="shared" si="533"/>
        <v>0</v>
      </c>
      <c r="GM66" s="25">
        <f t="shared" si="533"/>
        <v>0.09</v>
      </c>
      <c r="GN66" s="25">
        <f t="shared" si="533"/>
        <v>0.15</v>
      </c>
      <c r="GO66" s="25">
        <f t="shared" si="533"/>
        <v>0.04</v>
      </c>
      <c r="GP66" s="25">
        <f t="shared" si="533"/>
        <v>0.02</v>
      </c>
      <c r="GQ66" s="25">
        <f t="shared" si="533"/>
        <v>0.04</v>
      </c>
      <c r="GR66" s="25">
        <f t="shared" si="533"/>
        <v>0</v>
      </c>
      <c r="GS66" s="25">
        <f t="shared" si="533"/>
        <v>0.06</v>
      </c>
      <c r="GT66" s="25">
        <f t="shared" si="533"/>
        <v>0</v>
      </c>
      <c r="GU66" s="25">
        <f t="shared" si="533"/>
        <v>0</v>
      </c>
      <c r="GV66" s="25">
        <f t="shared" si="534"/>
        <v>0.03</v>
      </c>
      <c r="GW66" s="25">
        <f t="shared" si="535"/>
        <v>0.18</v>
      </c>
      <c r="GX66" s="25">
        <f t="shared" si="536"/>
        <v>0</v>
      </c>
      <c r="GY66" s="25">
        <f t="shared" si="537"/>
        <v>0</v>
      </c>
      <c r="GZ66" s="25">
        <f t="shared" si="538"/>
        <v>0</v>
      </c>
      <c r="HA66" s="25">
        <f t="shared" si="539"/>
        <v>0</v>
      </c>
      <c r="HB66" s="25">
        <f t="shared" si="540"/>
        <v>0.01</v>
      </c>
      <c r="HC66" s="25">
        <f t="shared" si="541"/>
        <v>0.04</v>
      </c>
      <c r="HD66" s="25">
        <f t="shared" si="542"/>
        <v>0.13</v>
      </c>
      <c r="HE66" s="25">
        <f t="shared" si="543"/>
        <v>0.1</v>
      </c>
      <c r="HF66" s="25">
        <f t="shared" si="544"/>
        <v>0</v>
      </c>
      <c r="HG66" s="25">
        <f t="shared" si="545"/>
        <v>0</v>
      </c>
      <c r="HH66" s="25">
        <f t="shared" si="546"/>
        <v>0.09</v>
      </c>
      <c r="HI66" s="25">
        <f t="shared" si="547"/>
        <v>0</v>
      </c>
      <c r="HJ66" s="25">
        <f t="shared" si="548"/>
        <v>0</v>
      </c>
      <c r="HK66" s="25">
        <f t="shared" si="549"/>
        <v>0.21</v>
      </c>
      <c r="HL66" s="25">
        <f t="shared" si="550"/>
        <v>0</v>
      </c>
      <c r="HM66" s="25">
        <f t="shared" si="551"/>
        <v>0</v>
      </c>
      <c r="HN66" s="25">
        <f t="shared" si="552"/>
        <v>0</v>
      </c>
      <c r="HO66" s="25">
        <f t="shared" si="553"/>
        <v>0.01</v>
      </c>
      <c r="HP66" s="25">
        <f t="shared" si="554"/>
        <v>0.04</v>
      </c>
      <c r="HQ66" s="25">
        <f t="shared" si="555"/>
        <v>0</v>
      </c>
      <c r="HR66" s="25">
        <f t="shared" si="556"/>
        <v>0.01</v>
      </c>
      <c r="HS66" s="25">
        <f t="shared" si="557"/>
        <v>0.05</v>
      </c>
      <c r="HT66" s="25">
        <f t="shared" si="558"/>
        <v>0.02</v>
      </c>
      <c r="HU66" s="25">
        <f t="shared" si="559"/>
        <v>0.02</v>
      </c>
      <c r="HV66" s="25">
        <f t="shared" si="560"/>
        <v>0.08</v>
      </c>
      <c r="HW66" s="25">
        <f t="shared" si="561"/>
        <v>0.16</v>
      </c>
      <c r="HX66" s="25" t="str">
        <f t="shared" si="466"/>
        <v>ELE,CHP</v>
      </c>
      <c r="HY66" s="25" t="str">
        <f t="shared" si="466"/>
        <v>???OIL</v>
      </c>
      <c r="HZ66" t="s">
        <v>247</v>
      </c>
      <c r="IA66">
        <f t="shared" si="467"/>
        <v>2030</v>
      </c>
    </row>
    <row r="67" spans="1:235">
      <c r="A67">
        <v>2030</v>
      </c>
      <c r="B67" t="str">
        <f>B56</f>
        <v>UCE_utilization_CRD_LO</v>
      </c>
      <c r="C67" t="s">
        <v>404</v>
      </c>
      <c r="D67" t="str">
        <f>D56</f>
        <v>???OIL_CRD</v>
      </c>
      <c r="F67" s="25">
        <f t="shared" ref="F67:BQ67" si="570">ROUND(-F8*$DP$62,2)</f>
        <v>0</v>
      </c>
      <c r="G67" s="25">
        <f t="shared" si="570"/>
        <v>0</v>
      </c>
      <c r="H67" s="25">
        <f t="shared" si="570"/>
        <v>0</v>
      </c>
      <c r="I67" s="25">
        <f t="shared" si="570"/>
        <v>0</v>
      </c>
      <c r="J67" s="25">
        <f t="shared" si="570"/>
        <v>0</v>
      </c>
      <c r="K67" s="25">
        <f t="shared" si="570"/>
        <v>0</v>
      </c>
      <c r="L67" s="25">
        <f t="shared" si="570"/>
        <v>0</v>
      </c>
      <c r="M67" s="25">
        <f t="shared" si="570"/>
        <v>0</v>
      </c>
      <c r="N67" s="25">
        <f t="shared" si="570"/>
        <v>0</v>
      </c>
      <c r="O67" s="25">
        <f t="shared" si="570"/>
        <v>0</v>
      </c>
      <c r="P67" s="25">
        <f t="shared" si="570"/>
        <v>0</v>
      </c>
      <c r="Q67" s="25">
        <f t="shared" si="570"/>
        <v>0</v>
      </c>
      <c r="R67" s="25">
        <f t="shared" si="570"/>
        <v>0</v>
      </c>
      <c r="S67" s="25">
        <f t="shared" si="570"/>
        <v>0</v>
      </c>
      <c r="T67" s="25">
        <f t="shared" si="570"/>
        <v>0</v>
      </c>
      <c r="U67" s="25">
        <f t="shared" si="570"/>
        <v>0</v>
      </c>
      <c r="V67" s="25">
        <f t="shared" si="570"/>
        <v>0</v>
      </c>
      <c r="W67" s="25">
        <f t="shared" si="570"/>
        <v>0</v>
      </c>
      <c r="X67" s="25">
        <f t="shared" si="570"/>
        <v>0</v>
      </c>
      <c r="Y67" s="25">
        <f t="shared" si="570"/>
        <v>0</v>
      </c>
      <c r="Z67" s="25">
        <f t="shared" si="570"/>
        <v>0</v>
      </c>
      <c r="AA67" s="25">
        <f t="shared" si="570"/>
        <v>0</v>
      </c>
      <c r="AB67" s="25">
        <f t="shared" si="570"/>
        <v>0</v>
      </c>
      <c r="AC67" s="25">
        <f t="shared" si="570"/>
        <v>0</v>
      </c>
      <c r="AD67" s="25">
        <f t="shared" si="570"/>
        <v>0</v>
      </c>
      <c r="AE67" s="25">
        <f t="shared" si="570"/>
        <v>0</v>
      </c>
      <c r="AF67" s="25">
        <f t="shared" si="570"/>
        <v>0</v>
      </c>
      <c r="AG67" s="25">
        <f t="shared" si="570"/>
        <v>0</v>
      </c>
      <c r="AH67" s="25">
        <f t="shared" si="570"/>
        <v>0</v>
      </c>
      <c r="AI67" s="25">
        <f t="shared" si="570"/>
        <v>0</v>
      </c>
      <c r="AJ67" s="25">
        <f t="shared" si="570"/>
        <v>0</v>
      </c>
      <c r="AK67" s="25">
        <f t="shared" si="570"/>
        <v>-0.07</v>
      </c>
      <c r="AL67" s="25">
        <f t="shared" si="570"/>
        <v>0</v>
      </c>
      <c r="AM67" s="25">
        <f t="shared" si="570"/>
        <v>0</v>
      </c>
      <c r="AN67" s="25">
        <f t="shared" si="570"/>
        <v>0</v>
      </c>
      <c r="AO67" s="25">
        <f t="shared" si="570"/>
        <v>0</v>
      </c>
      <c r="AP67" s="25">
        <f t="shared" si="570"/>
        <v>0</v>
      </c>
      <c r="AQ67" s="25">
        <f t="shared" si="570"/>
        <v>0</v>
      </c>
      <c r="AR67" s="25">
        <f t="shared" si="570"/>
        <v>-0.2</v>
      </c>
      <c r="AS67" s="25">
        <f t="shared" si="570"/>
        <v>0</v>
      </c>
      <c r="AT67" s="25">
        <f t="shared" si="570"/>
        <v>0</v>
      </c>
      <c r="AU67" s="25">
        <f t="shared" si="570"/>
        <v>0</v>
      </c>
      <c r="AV67" s="25">
        <f t="shared" si="570"/>
        <v>0</v>
      </c>
      <c r="AW67" s="25">
        <f t="shared" si="570"/>
        <v>0</v>
      </c>
      <c r="AX67" s="25">
        <f t="shared" si="570"/>
        <v>0</v>
      </c>
      <c r="AY67" s="25">
        <f t="shared" si="570"/>
        <v>0</v>
      </c>
      <c r="AZ67" s="25">
        <f t="shared" si="570"/>
        <v>0</v>
      </c>
      <c r="BA67" s="25">
        <f t="shared" si="570"/>
        <v>0</v>
      </c>
      <c r="BB67" s="25">
        <f t="shared" si="570"/>
        <v>0</v>
      </c>
      <c r="BC67" s="25">
        <f t="shared" si="570"/>
        <v>0</v>
      </c>
      <c r="BD67" s="25">
        <f t="shared" si="570"/>
        <v>0</v>
      </c>
      <c r="BE67" s="25">
        <f t="shared" si="570"/>
        <v>0</v>
      </c>
      <c r="BF67" s="25">
        <f t="shared" si="570"/>
        <v>0</v>
      </c>
      <c r="BG67" s="25">
        <f t="shared" si="570"/>
        <v>0</v>
      </c>
      <c r="BH67" s="25">
        <f t="shared" si="570"/>
        <v>0</v>
      </c>
      <c r="BI67" s="25">
        <f t="shared" si="570"/>
        <v>0</v>
      </c>
      <c r="BJ67" s="25">
        <f t="shared" si="570"/>
        <v>0</v>
      </c>
      <c r="BK67" s="25">
        <f t="shared" si="570"/>
        <v>0</v>
      </c>
      <c r="BL67" s="25">
        <f t="shared" si="570"/>
        <v>0</v>
      </c>
      <c r="BM67" s="25">
        <f t="shared" si="570"/>
        <v>0</v>
      </c>
      <c r="BN67" s="25">
        <f t="shared" si="570"/>
        <v>0</v>
      </c>
      <c r="BO67" s="25">
        <f t="shared" si="570"/>
        <v>0</v>
      </c>
      <c r="BP67" s="25">
        <f t="shared" si="570"/>
        <v>0</v>
      </c>
      <c r="BQ67" s="25">
        <f t="shared" si="570"/>
        <v>0</v>
      </c>
      <c r="BR67" s="25">
        <f t="shared" ref="BR67:DJ67" si="571">ROUND(-BR8*$DP$62,2)</f>
        <v>0</v>
      </c>
      <c r="BS67" s="25">
        <f t="shared" si="571"/>
        <v>0</v>
      </c>
      <c r="BT67" s="25">
        <f t="shared" si="571"/>
        <v>0</v>
      </c>
      <c r="BU67" s="25">
        <f t="shared" si="571"/>
        <v>0</v>
      </c>
      <c r="BV67" s="25">
        <f t="shared" si="571"/>
        <v>0</v>
      </c>
      <c r="BW67" s="25">
        <f t="shared" si="571"/>
        <v>0</v>
      </c>
      <c r="BX67" s="25">
        <f t="shared" si="571"/>
        <v>0</v>
      </c>
      <c r="BY67" s="25">
        <f t="shared" si="571"/>
        <v>0</v>
      </c>
      <c r="BZ67" s="25">
        <f t="shared" si="571"/>
        <v>-0.21</v>
      </c>
      <c r="CA67" s="25">
        <f t="shared" si="571"/>
        <v>0</v>
      </c>
      <c r="CB67" s="25">
        <f t="shared" si="571"/>
        <v>0</v>
      </c>
      <c r="CC67" s="25">
        <f t="shared" si="571"/>
        <v>0</v>
      </c>
      <c r="CD67" s="25">
        <f t="shared" si="571"/>
        <v>0</v>
      </c>
      <c r="CE67" s="25">
        <f t="shared" si="571"/>
        <v>0</v>
      </c>
      <c r="CF67" s="25">
        <f t="shared" si="571"/>
        <v>0</v>
      </c>
      <c r="CG67" s="25">
        <f t="shared" si="571"/>
        <v>0</v>
      </c>
      <c r="CH67" s="25">
        <f t="shared" si="571"/>
        <v>0</v>
      </c>
      <c r="CI67" s="25">
        <f t="shared" si="571"/>
        <v>0</v>
      </c>
      <c r="CJ67" s="25">
        <f t="shared" si="571"/>
        <v>-0.05</v>
      </c>
      <c r="CK67" s="25">
        <f t="shared" si="571"/>
        <v>0</v>
      </c>
      <c r="CL67" s="25">
        <f t="shared" si="571"/>
        <v>0</v>
      </c>
      <c r="CM67" s="25">
        <f t="shared" si="571"/>
        <v>0</v>
      </c>
      <c r="CN67" s="25">
        <f t="shared" si="571"/>
        <v>0</v>
      </c>
      <c r="CO67" s="25">
        <f t="shared" si="571"/>
        <v>0</v>
      </c>
      <c r="CP67" s="25">
        <f t="shared" si="571"/>
        <v>0</v>
      </c>
      <c r="CQ67" s="25">
        <f t="shared" si="571"/>
        <v>0</v>
      </c>
      <c r="CR67" s="25">
        <f t="shared" si="571"/>
        <v>-0.06</v>
      </c>
      <c r="CS67" s="25">
        <f t="shared" si="571"/>
        <v>0</v>
      </c>
      <c r="CT67" s="25">
        <f t="shared" si="571"/>
        <v>0</v>
      </c>
      <c r="CU67" s="25">
        <f t="shared" si="571"/>
        <v>0</v>
      </c>
      <c r="CV67" s="25">
        <f t="shared" si="571"/>
        <v>0</v>
      </c>
      <c r="CW67" s="25">
        <f t="shared" si="571"/>
        <v>0</v>
      </c>
      <c r="CX67" s="25">
        <f t="shared" si="571"/>
        <v>0</v>
      </c>
      <c r="CY67" s="25">
        <f t="shared" si="571"/>
        <v>0</v>
      </c>
      <c r="CZ67" s="25">
        <f t="shared" si="571"/>
        <v>0</v>
      </c>
      <c r="DA67" s="25">
        <f t="shared" si="571"/>
        <v>0</v>
      </c>
      <c r="DB67" s="25">
        <f t="shared" si="571"/>
        <v>0</v>
      </c>
      <c r="DC67" s="25">
        <f t="shared" si="571"/>
        <v>0</v>
      </c>
      <c r="DD67" s="25">
        <f t="shared" si="571"/>
        <v>0</v>
      </c>
      <c r="DE67" s="25">
        <f t="shared" si="571"/>
        <v>0</v>
      </c>
      <c r="DF67" s="25">
        <f t="shared" si="571"/>
        <v>0</v>
      </c>
      <c r="DG67" s="25">
        <f t="shared" si="571"/>
        <v>0</v>
      </c>
      <c r="DH67" s="25">
        <f t="shared" si="571"/>
        <v>0</v>
      </c>
      <c r="DI67" s="25">
        <f t="shared" si="571"/>
        <v>0</v>
      </c>
      <c r="DJ67" s="25">
        <f t="shared" si="571"/>
        <v>0</v>
      </c>
      <c r="DK67" s="7">
        <f t="shared" si="564"/>
        <v>0.0317097919837646</v>
      </c>
      <c r="DL67">
        <v>0</v>
      </c>
      <c r="DM67">
        <v>5</v>
      </c>
      <c r="DS67" s="25">
        <f t="shared" si="565"/>
        <v>0</v>
      </c>
      <c r="DT67" s="25">
        <f t="shared" si="470"/>
        <v>0</v>
      </c>
      <c r="DU67" s="25">
        <f t="shared" si="471"/>
        <v>0</v>
      </c>
      <c r="DV67" s="25">
        <f t="shared" si="472"/>
        <v>0</v>
      </c>
      <c r="DW67" s="25">
        <f t="shared" si="473"/>
        <v>0</v>
      </c>
      <c r="DX67" s="25">
        <f t="shared" si="474"/>
        <v>0</v>
      </c>
      <c r="DY67" s="25">
        <f t="shared" si="475"/>
        <v>0</v>
      </c>
      <c r="DZ67" s="25">
        <f t="shared" si="476"/>
        <v>0</v>
      </c>
      <c r="EA67" s="25">
        <f t="shared" si="477"/>
        <v>0</v>
      </c>
      <c r="EB67" s="25">
        <f t="shared" si="478"/>
        <v>0</v>
      </c>
      <c r="EC67" s="25">
        <f t="shared" si="479"/>
        <v>0</v>
      </c>
      <c r="ED67" s="25">
        <f t="shared" si="480"/>
        <v>0</v>
      </c>
      <c r="EE67" s="25">
        <f t="shared" si="481"/>
        <v>0</v>
      </c>
      <c r="EF67" s="25">
        <f t="shared" si="482"/>
        <v>0</v>
      </c>
      <c r="EG67" s="25">
        <f t="shared" si="483"/>
        <v>0</v>
      </c>
      <c r="EH67" s="25">
        <f t="shared" si="484"/>
        <v>0</v>
      </c>
      <c r="EI67" s="25">
        <f t="shared" si="485"/>
        <v>0</v>
      </c>
      <c r="EJ67" s="25">
        <f t="shared" si="486"/>
        <v>0</v>
      </c>
      <c r="EK67" s="25">
        <f t="shared" si="487"/>
        <v>0</v>
      </c>
      <c r="EL67" s="25">
        <f t="shared" si="488"/>
        <v>0</v>
      </c>
      <c r="EM67" s="25">
        <f t="shared" si="489"/>
        <v>0</v>
      </c>
      <c r="EN67" s="25">
        <f t="shared" si="490"/>
        <v>0</v>
      </c>
      <c r="EO67" s="25">
        <f t="shared" si="491"/>
        <v>0</v>
      </c>
      <c r="EP67" s="25">
        <f t="shared" si="492"/>
        <v>0</v>
      </c>
      <c r="EQ67" s="25">
        <f t="shared" si="493"/>
        <v>0</v>
      </c>
      <c r="ER67" s="25">
        <f t="shared" si="494"/>
        <v>0</v>
      </c>
      <c r="ES67" s="25">
        <f t="shared" si="495"/>
        <v>0</v>
      </c>
      <c r="ET67" s="25">
        <f t="shared" si="496"/>
        <v>0</v>
      </c>
      <c r="EU67" s="25">
        <f t="shared" si="497"/>
        <v>0</v>
      </c>
      <c r="EV67" s="25">
        <f t="shared" si="498"/>
        <v>0</v>
      </c>
      <c r="EW67" s="25">
        <f t="shared" si="499"/>
        <v>0</v>
      </c>
      <c r="EX67" s="25">
        <f t="shared" si="500"/>
        <v>0.07</v>
      </c>
      <c r="EY67" s="25">
        <f t="shared" si="501"/>
        <v>0</v>
      </c>
      <c r="EZ67" s="25">
        <f t="shared" si="502"/>
        <v>0</v>
      </c>
      <c r="FA67" s="25">
        <f t="shared" si="503"/>
        <v>0</v>
      </c>
      <c r="FB67" s="25">
        <f t="shared" si="504"/>
        <v>0</v>
      </c>
      <c r="FC67" s="25">
        <f t="shared" si="505"/>
        <v>0</v>
      </c>
      <c r="FD67" s="25">
        <f t="shared" si="506"/>
        <v>0</v>
      </c>
      <c r="FE67" s="25">
        <f t="shared" si="507"/>
        <v>0.2</v>
      </c>
      <c r="FF67" s="25">
        <f t="shared" si="508"/>
        <v>0</v>
      </c>
      <c r="FG67" s="25">
        <f t="shared" si="509"/>
        <v>0</v>
      </c>
      <c r="FH67" s="25">
        <f t="shared" si="510"/>
        <v>0</v>
      </c>
      <c r="FI67" s="25">
        <f t="shared" si="511"/>
        <v>0</v>
      </c>
      <c r="FJ67" s="25">
        <f t="shared" si="512"/>
        <v>0</v>
      </c>
      <c r="FK67" s="25">
        <f t="shared" si="513"/>
        <v>0</v>
      </c>
      <c r="FL67" s="25">
        <f t="shared" si="514"/>
        <v>0</v>
      </c>
      <c r="FM67" s="25">
        <f t="shared" si="515"/>
        <v>0</v>
      </c>
      <c r="FN67" s="25">
        <f t="shared" si="516"/>
        <v>0</v>
      </c>
      <c r="FO67" s="25">
        <f t="shared" si="517"/>
        <v>0</v>
      </c>
      <c r="FP67" s="25">
        <f t="shared" si="518"/>
        <v>0</v>
      </c>
      <c r="FQ67" s="25">
        <f t="shared" si="519"/>
        <v>0</v>
      </c>
      <c r="FR67" s="25">
        <f t="shared" si="520"/>
        <v>0</v>
      </c>
      <c r="FS67" s="25">
        <f t="shared" si="521"/>
        <v>0</v>
      </c>
      <c r="FT67" s="25">
        <f t="shared" si="522"/>
        <v>0</v>
      </c>
      <c r="FU67" s="25">
        <f t="shared" si="523"/>
        <v>0</v>
      </c>
      <c r="FV67" s="25">
        <f t="shared" si="524"/>
        <v>0</v>
      </c>
      <c r="FW67" s="25">
        <f t="shared" si="525"/>
        <v>0</v>
      </c>
      <c r="FX67" s="25">
        <f t="shared" si="526"/>
        <v>0</v>
      </c>
      <c r="FY67" s="25">
        <f t="shared" si="527"/>
        <v>0</v>
      </c>
      <c r="FZ67" s="25">
        <f t="shared" si="528"/>
        <v>0</v>
      </c>
      <c r="GA67" s="25">
        <f t="shared" si="529"/>
        <v>0</v>
      </c>
      <c r="GB67" s="25">
        <f t="shared" si="530"/>
        <v>0</v>
      </c>
      <c r="GC67" s="25">
        <f t="shared" si="531"/>
        <v>0</v>
      </c>
      <c r="GD67" s="25">
        <f t="shared" si="532"/>
        <v>0</v>
      </c>
      <c r="GE67" s="25">
        <f t="shared" si="533"/>
        <v>0</v>
      </c>
      <c r="GF67" s="25">
        <f t="shared" si="533"/>
        <v>0</v>
      </c>
      <c r="GG67" s="25">
        <f t="shared" si="533"/>
        <v>0</v>
      </c>
      <c r="GH67" s="25">
        <f t="shared" si="533"/>
        <v>0</v>
      </c>
      <c r="GI67" s="25">
        <f t="shared" si="533"/>
        <v>0</v>
      </c>
      <c r="GJ67" s="25">
        <f t="shared" si="533"/>
        <v>0</v>
      </c>
      <c r="GK67" s="25">
        <f t="shared" si="533"/>
        <v>0</v>
      </c>
      <c r="GL67" s="25">
        <f t="shared" si="533"/>
        <v>0</v>
      </c>
      <c r="GM67" s="25">
        <f t="shared" si="533"/>
        <v>0.21</v>
      </c>
      <c r="GN67" s="25">
        <f t="shared" si="533"/>
        <v>0</v>
      </c>
      <c r="GO67" s="25">
        <f t="shared" si="533"/>
        <v>0</v>
      </c>
      <c r="GP67" s="25">
        <f t="shared" si="533"/>
        <v>0</v>
      </c>
      <c r="GQ67" s="25">
        <f t="shared" si="533"/>
        <v>0</v>
      </c>
      <c r="GR67" s="25">
        <f t="shared" si="533"/>
        <v>0</v>
      </c>
      <c r="GS67" s="25">
        <f t="shared" si="533"/>
        <v>0</v>
      </c>
      <c r="GT67" s="25">
        <f t="shared" si="533"/>
        <v>0</v>
      </c>
      <c r="GU67" s="25">
        <f t="shared" si="533"/>
        <v>0</v>
      </c>
      <c r="GV67" s="25">
        <f t="shared" si="534"/>
        <v>0</v>
      </c>
      <c r="GW67" s="25">
        <f t="shared" si="535"/>
        <v>0.05</v>
      </c>
      <c r="GX67" s="25">
        <f t="shared" si="536"/>
        <v>0</v>
      </c>
      <c r="GY67" s="25">
        <f t="shared" si="537"/>
        <v>0</v>
      </c>
      <c r="GZ67" s="25">
        <f t="shared" si="538"/>
        <v>0</v>
      </c>
      <c r="HA67" s="25">
        <f t="shared" si="539"/>
        <v>0</v>
      </c>
      <c r="HB67" s="25">
        <f t="shared" si="540"/>
        <v>0</v>
      </c>
      <c r="HC67" s="25">
        <f t="shared" si="541"/>
        <v>0</v>
      </c>
      <c r="HD67" s="25">
        <f t="shared" si="542"/>
        <v>0</v>
      </c>
      <c r="HE67" s="25">
        <f t="shared" si="543"/>
        <v>0.06</v>
      </c>
      <c r="HF67" s="25">
        <f t="shared" si="544"/>
        <v>0</v>
      </c>
      <c r="HG67" s="25">
        <f t="shared" si="545"/>
        <v>0</v>
      </c>
      <c r="HH67" s="25">
        <f t="shared" si="546"/>
        <v>0</v>
      </c>
      <c r="HI67" s="25">
        <f t="shared" si="547"/>
        <v>0</v>
      </c>
      <c r="HJ67" s="25">
        <f t="shared" si="548"/>
        <v>0</v>
      </c>
      <c r="HK67" s="25">
        <f t="shared" si="549"/>
        <v>0</v>
      </c>
      <c r="HL67" s="25">
        <f t="shared" si="550"/>
        <v>0</v>
      </c>
      <c r="HM67" s="25">
        <f t="shared" si="551"/>
        <v>0</v>
      </c>
      <c r="HN67" s="25">
        <f t="shared" si="552"/>
        <v>0</v>
      </c>
      <c r="HO67" s="25">
        <f t="shared" si="553"/>
        <v>0</v>
      </c>
      <c r="HP67" s="25">
        <f t="shared" si="554"/>
        <v>0</v>
      </c>
      <c r="HQ67" s="25">
        <f t="shared" si="555"/>
        <v>0</v>
      </c>
      <c r="HR67" s="25">
        <f t="shared" si="556"/>
        <v>0</v>
      </c>
      <c r="HS67" s="25">
        <f t="shared" si="557"/>
        <v>0</v>
      </c>
      <c r="HT67" s="25">
        <f t="shared" si="558"/>
        <v>0</v>
      </c>
      <c r="HU67" s="25">
        <f t="shared" si="559"/>
        <v>0</v>
      </c>
      <c r="HV67" s="25">
        <f t="shared" si="560"/>
        <v>0</v>
      </c>
      <c r="HW67" s="25">
        <f t="shared" si="561"/>
        <v>0</v>
      </c>
      <c r="HX67" s="25" t="str">
        <f t="shared" si="466"/>
        <v>ELE,CHP</v>
      </c>
      <c r="HY67" s="25" t="str">
        <f t="shared" si="466"/>
        <v>???OIL_CRD</v>
      </c>
      <c r="HZ67" t="s">
        <v>247</v>
      </c>
      <c r="IA67">
        <f t="shared" si="467"/>
        <v>2030</v>
      </c>
    </row>
    <row r="68" spans="1:235">
      <c r="A68">
        <v>2030</v>
      </c>
      <c r="B68" t="str">
        <f t="shared" ref="B68:B69" si="572">B57</f>
        <v>UCE_utilization_DST_LO</v>
      </c>
      <c r="C68" t="s">
        <v>404</v>
      </c>
      <c r="D68" t="str">
        <f t="shared" ref="D68:D69" si="573">D57</f>
        <v>???OIL_DST</v>
      </c>
      <c r="F68" s="25">
        <f t="shared" ref="F68:BQ68" si="574">ROUND(-F9*$DP$62,2)</f>
        <v>0</v>
      </c>
      <c r="G68" s="25">
        <f t="shared" si="574"/>
        <v>-0.04</v>
      </c>
      <c r="H68" s="25">
        <f t="shared" si="574"/>
        <v>0</v>
      </c>
      <c r="I68" s="25">
        <f t="shared" si="574"/>
        <v>-0.09</v>
      </c>
      <c r="J68" s="25">
        <f t="shared" si="574"/>
        <v>0</v>
      </c>
      <c r="K68" s="25">
        <f t="shared" si="574"/>
        <v>-0.01</v>
      </c>
      <c r="L68" s="25">
        <f t="shared" si="574"/>
        <v>0</v>
      </c>
      <c r="M68" s="25">
        <f t="shared" si="574"/>
        <v>-0.01</v>
      </c>
      <c r="N68" s="25">
        <f t="shared" si="574"/>
        <v>-0.05</v>
      </c>
      <c r="O68" s="25">
        <f t="shared" si="574"/>
        <v>0</v>
      </c>
      <c r="P68" s="25">
        <f t="shared" si="574"/>
        <v>-0.21</v>
      </c>
      <c r="Q68" s="25">
        <f t="shared" si="574"/>
        <v>0</v>
      </c>
      <c r="R68" s="25">
        <f t="shared" si="574"/>
        <v>-0.03</v>
      </c>
      <c r="S68" s="25">
        <f t="shared" si="574"/>
        <v>0</v>
      </c>
      <c r="T68" s="25">
        <f t="shared" si="574"/>
        <v>0</v>
      </c>
      <c r="U68" s="25">
        <f t="shared" si="574"/>
        <v>-0.02</v>
      </c>
      <c r="V68" s="25">
        <f t="shared" si="574"/>
        <v>0</v>
      </c>
      <c r="W68" s="25">
        <f t="shared" si="574"/>
        <v>0</v>
      </c>
      <c r="X68" s="25">
        <f t="shared" si="574"/>
        <v>-0.01</v>
      </c>
      <c r="Y68" s="25">
        <f t="shared" si="574"/>
        <v>0</v>
      </c>
      <c r="Z68" s="25">
        <f t="shared" si="574"/>
        <v>-0.08</v>
      </c>
      <c r="AA68" s="25">
        <f t="shared" si="574"/>
        <v>0</v>
      </c>
      <c r="AB68" s="25">
        <f t="shared" si="574"/>
        <v>0</v>
      </c>
      <c r="AC68" s="25">
        <f t="shared" si="574"/>
        <v>0</v>
      </c>
      <c r="AD68" s="25">
        <f t="shared" si="574"/>
        <v>0</v>
      </c>
      <c r="AE68" s="25">
        <f t="shared" si="574"/>
        <v>0</v>
      </c>
      <c r="AF68" s="25">
        <f t="shared" si="574"/>
        <v>0</v>
      </c>
      <c r="AG68" s="25">
        <f t="shared" si="574"/>
        <v>0</v>
      </c>
      <c r="AH68" s="25">
        <f t="shared" si="574"/>
        <v>-0.05</v>
      </c>
      <c r="AI68" s="25">
        <f t="shared" si="574"/>
        <v>0</v>
      </c>
      <c r="AJ68" s="25">
        <f t="shared" si="574"/>
        <v>-0.01</v>
      </c>
      <c r="AK68" s="25">
        <f t="shared" si="574"/>
        <v>-0.01</v>
      </c>
      <c r="AL68" s="25">
        <f t="shared" si="574"/>
        <v>-0.03</v>
      </c>
      <c r="AM68" s="25">
        <f t="shared" si="574"/>
        <v>-0.01</v>
      </c>
      <c r="AN68" s="25">
        <f t="shared" si="574"/>
        <v>0</v>
      </c>
      <c r="AO68" s="25">
        <f t="shared" si="574"/>
        <v>-0.21</v>
      </c>
      <c r="AP68" s="25">
        <f t="shared" si="574"/>
        <v>-0.03</v>
      </c>
      <c r="AQ68" s="25">
        <f t="shared" si="574"/>
        <v>-0.12</v>
      </c>
      <c r="AR68" s="25">
        <f t="shared" si="574"/>
        <v>0</v>
      </c>
      <c r="AS68" s="25">
        <f t="shared" si="574"/>
        <v>-0.01</v>
      </c>
      <c r="AT68" s="25">
        <f t="shared" si="574"/>
        <v>-0.02</v>
      </c>
      <c r="AU68" s="25">
        <f t="shared" si="574"/>
        <v>-0.04</v>
      </c>
      <c r="AV68" s="25">
        <f t="shared" si="574"/>
        <v>0</v>
      </c>
      <c r="AW68" s="25">
        <f t="shared" si="574"/>
        <v>-0.05</v>
      </c>
      <c r="AX68" s="25">
        <f t="shared" si="574"/>
        <v>0</v>
      </c>
      <c r="AY68" s="25">
        <f t="shared" si="574"/>
        <v>-0.07</v>
      </c>
      <c r="AZ68" s="25">
        <f t="shared" si="574"/>
        <v>-0.13</v>
      </c>
      <c r="BA68" s="25">
        <f t="shared" si="574"/>
        <v>0</v>
      </c>
      <c r="BB68" s="25">
        <f t="shared" si="574"/>
        <v>0</v>
      </c>
      <c r="BC68" s="25">
        <f t="shared" si="574"/>
        <v>0</v>
      </c>
      <c r="BD68" s="25">
        <f t="shared" si="574"/>
        <v>0</v>
      </c>
      <c r="BE68" s="25">
        <f t="shared" si="574"/>
        <v>0</v>
      </c>
      <c r="BF68" s="25">
        <f t="shared" si="574"/>
        <v>0</v>
      </c>
      <c r="BG68" s="25">
        <f t="shared" si="574"/>
        <v>0</v>
      </c>
      <c r="BH68" s="25">
        <f t="shared" si="574"/>
        <v>-0.03</v>
      </c>
      <c r="BI68" s="25">
        <f t="shared" si="574"/>
        <v>0</v>
      </c>
      <c r="BJ68" s="25">
        <f t="shared" si="574"/>
        <v>-0.06</v>
      </c>
      <c r="BK68" s="25">
        <f t="shared" si="574"/>
        <v>0</v>
      </c>
      <c r="BL68" s="25">
        <f t="shared" si="574"/>
        <v>0</v>
      </c>
      <c r="BM68" s="25">
        <f t="shared" si="574"/>
        <v>0</v>
      </c>
      <c r="BN68" s="25">
        <f t="shared" si="574"/>
        <v>0</v>
      </c>
      <c r="BO68" s="25">
        <f t="shared" si="574"/>
        <v>-0.06</v>
      </c>
      <c r="BP68" s="25">
        <f t="shared" si="574"/>
        <v>0</v>
      </c>
      <c r="BQ68" s="25">
        <f t="shared" si="574"/>
        <v>0</v>
      </c>
      <c r="BR68" s="25">
        <f t="shared" ref="BR68:DJ68" si="575">ROUND(-BR9*$DP$62,2)</f>
        <v>0</v>
      </c>
      <c r="BS68" s="25">
        <f t="shared" si="575"/>
        <v>0</v>
      </c>
      <c r="BT68" s="25">
        <f t="shared" si="575"/>
        <v>0</v>
      </c>
      <c r="BU68" s="25">
        <f t="shared" si="575"/>
        <v>-0.01</v>
      </c>
      <c r="BV68" s="25">
        <f t="shared" si="575"/>
        <v>-0.08</v>
      </c>
      <c r="BW68" s="25">
        <f t="shared" si="575"/>
        <v>-0.01</v>
      </c>
      <c r="BX68" s="25">
        <f t="shared" si="575"/>
        <v>-0.05</v>
      </c>
      <c r="BY68" s="25">
        <f t="shared" si="575"/>
        <v>0</v>
      </c>
      <c r="BZ68" s="25">
        <f t="shared" si="575"/>
        <v>-0.01</v>
      </c>
      <c r="CA68" s="25">
        <f t="shared" si="575"/>
        <v>-0.15</v>
      </c>
      <c r="CB68" s="25">
        <f t="shared" si="575"/>
        <v>0</v>
      </c>
      <c r="CC68" s="25">
        <f t="shared" si="575"/>
        <v>0</v>
      </c>
      <c r="CD68" s="25">
        <f t="shared" si="575"/>
        <v>0</v>
      </c>
      <c r="CE68" s="25">
        <f t="shared" si="575"/>
        <v>-0.21</v>
      </c>
      <c r="CF68" s="25">
        <f t="shared" si="575"/>
        <v>-0.02</v>
      </c>
      <c r="CG68" s="25">
        <f t="shared" si="575"/>
        <v>0</v>
      </c>
      <c r="CH68" s="25">
        <f t="shared" si="575"/>
        <v>0</v>
      </c>
      <c r="CI68" s="25">
        <f t="shared" si="575"/>
        <v>0</v>
      </c>
      <c r="CJ68" s="25">
        <f t="shared" si="575"/>
        <v>0</v>
      </c>
      <c r="CK68" s="25">
        <f t="shared" si="575"/>
        <v>0</v>
      </c>
      <c r="CL68" s="25">
        <f t="shared" si="575"/>
        <v>0</v>
      </c>
      <c r="CM68" s="25">
        <f t="shared" si="575"/>
        <v>0</v>
      </c>
      <c r="CN68" s="25">
        <f t="shared" si="575"/>
        <v>0</v>
      </c>
      <c r="CO68" s="25">
        <f t="shared" si="575"/>
        <v>0</v>
      </c>
      <c r="CP68" s="25">
        <f t="shared" si="575"/>
        <v>-0.14</v>
      </c>
      <c r="CQ68" s="25">
        <f t="shared" si="575"/>
        <v>-0.07</v>
      </c>
      <c r="CR68" s="25">
        <f t="shared" si="575"/>
        <v>0</v>
      </c>
      <c r="CS68" s="25">
        <f t="shared" si="575"/>
        <v>0</v>
      </c>
      <c r="CT68" s="25">
        <f t="shared" si="575"/>
        <v>0</v>
      </c>
      <c r="CU68" s="25">
        <f t="shared" si="575"/>
        <v>0</v>
      </c>
      <c r="CV68" s="25">
        <f t="shared" si="575"/>
        <v>0</v>
      </c>
      <c r="CW68" s="25">
        <f t="shared" si="575"/>
        <v>-0.01</v>
      </c>
      <c r="CX68" s="25">
        <f t="shared" si="575"/>
        <v>-0.03</v>
      </c>
      <c r="CY68" s="25">
        <f t="shared" si="575"/>
        <v>0</v>
      </c>
      <c r="CZ68" s="25">
        <f t="shared" si="575"/>
        <v>0</v>
      </c>
      <c r="DA68" s="25">
        <f t="shared" si="575"/>
        <v>0</v>
      </c>
      <c r="DB68" s="25">
        <f t="shared" si="575"/>
        <v>-0.02</v>
      </c>
      <c r="DC68" s="25">
        <f t="shared" si="575"/>
        <v>0</v>
      </c>
      <c r="DD68" s="25">
        <f t="shared" si="575"/>
        <v>0</v>
      </c>
      <c r="DE68" s="25">
        <f t="shared" si="575"/>
        <v>-0.06</v>
      </c>
      <c r="DF68" s="25">
        <f t="shared" si="575"/>
        <v>0</v>
      </c>
      <c r="DG68" s="25">
        <f t="shared" si="575"/>
        <v>-0.08</v>
      </c>
      <c r="DH68" s="25">
        <f t="shared" si="575"/>
        <v>-0.1</v>
      </c>
      <c r="DI68" s="25">
        <f t="shared" si="575"/>
        <v>0</v>
      </c>
      <c r="DJ68" s="25">
        <f t="shared" si="575"/>
        <v>0</v>
      </c>
      <c r="DK68" s="7">
        <f t="shared" si="564"/>
        <v>0.0317097919837646</v>
      </c>
      <c r="DL68">
        <v>0</v>
      </c>
      <c r="DM68">
        <v>5</v>
      </c>
      <c r="DS68" s="25">
        <f t="shared" ref="DS68:DS69" si="576">-F68</f>
        <v>0</v>
      </c>
      <c r="DT68" s="25">
        <f t="shared" si="470"/>
        <v>0.04</v>
      </c>
      <c r="DU68" s="25">
        <f t="shared" si="471"/>
        <v>0</v>
      </c>
      <c r="DV68" s="25">
        <f t="shared" si="472"/>
        <v>0.09</v>
      </c>
      <c r="DW68" s="25">
        <f t="shared" si="473"/>
        <v>0</v>
      </c>
      <c r="DX68" s="25">
        <f t="shared" si="474"/>
        <v>0.01</v>
      </c>
      <c r="DY68" s="25">
        <f t="shared" si="475"/>
        <v>0</v>
      </c>
      <c r="DZ68" s="25">
        <f t="shared" si="476"/>
        <v>0.01</v>
      </c>
      <c r="EA68" s="25">
        <f t="shared" si="477"/>
        <v>0.05</v>
      </c>
      <c r="EB68" s="25">
        <f t="shared" si="478"/>
        <v>0</v>
      </c>
      <c r="EC68" s="25">
        <f t="shared" si="479"/>
        <v>0.21</v>
      </c>
      <c r="ED68" s="25">
        <f t="shared" si="480"/>
        <v>0</v>
      </c>
      <c r="EE68" s="25">
        <f t="shared" si="481"/>
        <v>0.03</v>
      </c>
      <c r="EF68" s="25">
        <f t="shared" si="482"/>
        <v>0</v>
      </c>
      <c r="EG68" s="25">
        <f t="shared" si="483"/>
        <v>0</v>
      </c>
      <c r="EH68" s="25">
        <f t="shared" si="484"/>
        <v>0.02</v>
      </c>
      <c r="EI68" s="25">
        <f t="shared" si="485"/>
        <v>0</v>
      </c>
      <c r="EJ68" s="25">
        <f t="shared" si="486"/>
        <v>0</v>
      </c>
      <c r="EK68" s="25">
        <f t="shared" si="487"/>
        <v>0.01</v>
      </c>
      <c r="EL68" s="25">
        <f t="shared" si="488"/>
        <v>0</v>
      </c>
      <c r="EM68" s="25">
        <f t="shared" si="489"/>
        <v>0.08</v>
      </c>
      <c r="EN68" s="25">
        <f t="shared" si="490"/>
        <v>0</v>
      </c>
      <c r="EO68" s="25">
        <f t="shared" si="491"/>
        <v>0</v>
      </c>
      <c r="EP68" s="25">
        <f t="shared" si="492"/>
        <v>0</v>
      </c>
      <c r="EQ68" s="25">
        <f t="shared" si="493"/>
        <v>0</v>
      </c>
      <c r="ER68" s="25">
        <f t="shared" si="494"/>
        <v>0</v>
      </c>
      <c r="ES68" s="25">
        <f t="shared" si="495"/>
        <v>0</v>
      </c>
      <c r="ET68" s="25">
        <f t="shared" si="496"/>
        <v>0</v>
      </c>
      <c r="EU68" s="25">
        <f t="shared" si="497"/>
        <v>0.05</v>
      </c>
      <c r="EV68" s="25">
        <f t="shared" si="498"/>
        <v>0</v>
      </c>
      <c r="EW68" s="25">
        <f t="shared" si="499"/>
        <v>0.01</v>
      </c>
      <c r="EX68" s="25">
        <f t="shared" si="500"/>
        <v>0.01</v>
      </c>
      <c r="EY68" s="25">
        <f t="shared" si="501"/>
        <v>0.03</v>
      </c>
      <c r="EZ68" s="25">
        <f t="shared" si="502"/>
        <v>0.01</v>
      </c>
      <c r="FA68" s="25">
        <f t="shared" si="503"/>
        <v>0</v>
      </c>
      <c r="FB68" s="25">
        <f t="shared" si="504"/>
        <v>0.21</v>
      </c>
      <c r="FC68" s="25">
        <f t="shared" si="505"/>
        <v>0.03</v>
      </c>
      <c r="FD68" s="25">
        <f t="shared" si="506"/>
        <v>0.12</v>
      </c>
      <c r="FE68" s="25">
        <f t="shared" si="507"/>
        <v>0</v>
      </c>
      <c r="FF68" s="25">
        <f t="shared" si="508"/>
        <v>0.01</v>
      </c>
      <c r="FG68" s="25">
        <f t="shared" si="509"/>
        <v>0.02</v>
      </c>
      <c r="FH68" s="25">
        <f t="shared" si="510"/>
        <v>0.04</v>
      </c>
      <c r="FI68" s="25">
        <f t="shared" si="511"/>
        <v>0</v>
      </c>
      <c r="FJ68" s="25">
        <f t="shared" si="512"/>
        <v>0.05</v>
      </c>
      <c r="FK68" s="25">
        <f t="shared" si="513"/>
        <v>0</v>
      </c>
      <c r="FL68" s="25">
        <f t="shared" si="514"/>
        <v>0.07</v>
      </c>
      <c r="FM68" s="25">
        <f t="shared" si="515"/>
        <v>0.13</v>
      </c>
      <c r="FN68" s="25">
        <f t="shared" si="516"/>
        <v>0</v>
      </c>
      <c r="FO68" s="25">
        <f t="shared" si="517"/>
        <v>0</v>
      </c>
      <c r="FP68" s="25">
        <f t="shared" si="518"/>
        <v>0</v>
      </c>
      <c r="FQ68" s="25">
        <f t="shared" si="519"/>
        <v>0</v>
      </c>
      <c r="FR68" s="25">
        <f t="shared" si="520"/>
        <v>0</v>
      </c>
      <c r="FS68" s="25">
        <f t="shared" si="521"/>
        <v>0</v>
      </c>
      <c r="FT68" s="25">
        <f t="shared" si="522"/>
        <v>0</v>
      </c>
      <c r="FU68" s="25">
        <f t="shared" si="523"/>
        <v>0.03</v>
      </c>
      <c r="FV68" s="25">
        <f t="shared" si="524"/>
        <v>0</v>
      </c>
      <c r="FW68" s="25">
        <f t="shared" si="525"/>
        <v>0.06</v>
      </c>
      <c r="FX68" s="25">
        <f t="shared" si="526"/>
        <v>0</v>
      </c>
      <c r="FY68" s="25">
        <f t="shared" si="527"/>
        <v>0</v>
      </c>
      <c r="FZ68" s="25">
        <f t="shared" si="528"/>
        <v>0</v>
      </c>
      <c r="GA68" s="25">
        <f t="shared" si="529"/>
        <v>0</v>
      </c>
      <c r="GB68" s="25">
        <f t="shared" si="530"/>
        <v>0.06</v>
      </c>
      <c r="GC68" s="25">
        <f t="shared" si="531"/>
        <v>0</v>
      </c>
      <c r="GD68" s="25">
        <f t="shared" si="532"/>
        <v>0</v>
      </c>
      <c r="GE68" s="25">
        <f t="shared" si="533"/>
        <v>0</v>
      </c>
      <c r="GF68" s="25">
        <f t="shared" si="533"/>
        <v>0</v>
      </c>
      <c r="GG68" s="25">
        <f t="shared" si="533"/>
        <v>0</v>
      </c>
      <c r="GH68" s="25">
        <f t="shared" si="533"/>
        <v>0.01</v>
      </c>
      <c r="GI68" s="25">
        <f t="shared" si="533"/>
        <v>0.08</v>
      </c>
      <c r="GJ68" s="25">
        <f t="shared" si="533"/>
        <v>0.01</v>
      </c>
      <c r="GK68" s="25">
        <f t="shared" si="533"/>
        <v>0.05</v>
      </c>
      <c r="GL68" s="25">
        <f t="shared" si="533"/>
        <v>0</v>
      </c>
      <c r="GM68" s="25">
        <f t="shared" si="533"/>
        <v>0.01</v>
      </c>
      <c r="GN68" s="25">
        <f t="shared" si="533"/>
        <v>0.15</v>
      </c>
      <c r="GO68" s="25">
        <f t="shared" si="533"/>
        <v>0</v>
      </c>
      <c r="GP68" s="25">
        <f t="shared" si="533"/>
        <v>0</v>
      </c>
      <c r="GQ68" s="25">
        <f t="shared" si="533"/>
        <v>0</v>
      </c>
      <c r="GR68" s="25">
        <f t="shared" si="533"/>
        <v>0.21</v>
      </c>
      <c r="GS68" s="25">
        <f t="shared" si="533"/>
        <v>0.02</v>
      </c>
      <c r="GT68" s="25">
        <f t="shared" si="533"/>
        <v>0</v>
      </c>
      <c r="GU68" s="25">
        <f t="shared" si="533"/>
        <v>0</v>
      </c>
      <c r="GV68" s="25">
        <f t="shared" ref="GV68:GV69" si="577">-CI68</f>
        <v>0</v>
      </c>
      <c r="GW68" s="25">
        <f t="shared" ref="GW68:GW69" si="578">-CJ68</f>
        <v>0</v>
      </c>
      <c r="GX68" s="25">
        <f t="shared" ref="GX68:GX69" si="579">-CK68</f>
        <v>0</v>
      </c>
      <c r="GY68" s="25">
        <f t="shared" ref="GY68:GY69" si="580">-CL68</f>
        <v>0</v>
      </c>
      <c r="GZ68" s="25">
        <f t="shared" ref="GZ68:GZ69" si="581">-CM68</f>
        <v>0</v>
      </c>
      <c r="HA68" s="25">
        <f t="shared" ref="HA68:HA69" si="582">-CN68</f>
        <v>0</v>
      </c>
      <c r="HB68" s="25">
        <f t="shared" ref="HB68:HB69" si="583">-CO68</f>
        <v>0</v>
      </c>
      <c r="HC68" s="25">
        <f t="shared" ref="HC68:HC69" si="584">-CP68</f>
        <v>0.14</v>
      </c>
      <c r="HD68" s="25">
        <f t="shared" ref="HD68:HD69" si="585">-CQ68</f>
        <v>0.07</v>
      </c>
      <c r="HE68" s="25">
        <f t="shared" ref="HE68:HE69" si="586">-CR68</f>
        <v>0</v>
      </c>
      <c r="HF68" s="25">
        <f t="shared" ref="HF68:HF69" si="587">-CS68</f>
        <v>0</v>
      </c>
      <c r="HG68" s="25">
        <f t="shared" ref="HG68:HG69" si="588">-CT68</f>
        <v>0</v>
      </c>
      <c r="HH68" s="25">
        <f t="shared" ref="HH68:HH69" si="589">-CU68</f>
        <v>0</v>
      </c>
      <c r="HI68" s="25">
        <f t="shared" ref="HI68:HI69" si="590">-CV68</f>
        <v>0</v>
      </c>
      <c r="HJ68" s="25">
        <f t="shared" ref="HJ68:HJ69" si="591">-CW68</f>
        <v>0.01</v>
      </c>
      <c r="HK68" s="25">
        <f t="shared" ref="HK68:HK69" si="592">-CX68</f>
        <v>0.03</v>
      </c>
      <c r="HL68" s="25">
        <f t="shared" ref="HL68:HL69" si="593">-CY68</f>
        <v>0</v>
      </c>
      <c r="HM68" s="25">
        <f t="shared" ref="HM68:HM69" si="594">-CZ68</f>
        <v>0</v>
      </c>
      <c r="HN68" s="25">
        <f t="shared" ref="HN68:HN69" si="595">-DA68</f>
        <v>0</v>
      </c>
      <c r="HO68" s="25">
        <f t="shared" ref="HO68:HO69" si="596">-DB68</f>
        <v>0.02</v>
      </c>
      <c r="HP68" s="25">
        <f t="shared" ref="HP68:HP69" si="597">-DC68</f>
        <v>0</v>
      </c>
      <c r="HQ68" s="25">
        <f t="shared" ref="HQ68:HQ69" si="598">-DD68</f>
        <v>0</v>
      </c>
      <c r="HR68" s="25">
        <f t="shared" ref="HR68:HR69" si="599">-DE68</f>
        <v>0.06</v>
      </c>
      <c r="HS68" s="25">
        <f t="shared" ref="HS68:HS69" si="600">-DF68</f>
        <v>0</v>
      </c>
      <c r="HT68" s="25">
        <f t="shared" ref="HT68:HT69" si="601">-DG68</f>
        <v>0.08</v>
      </c>
      <c r="HU68" s="25">
        <f t="shared" ref="HU68:HU69" si="602">-DH68</f>
        <v>0.1</v>
      </c>
      <c r="HV68" s="25">
        <f t="shared" ref="HV68:HV69" si="603">-DI68</f>
        <v>0</v>
      </c>
      <c r="HW68" s="25">
        <f t="shared" ref="HW68:HW69" si="604">-DJ68</f>
        <v>0</v>
      </c>
      <c r="HX68" s="25" t="str">
        <f t="shared" si="466"/>
        <v>ELE,CHP</v>
      </c>
      <c r="HY68" s="25" t="str">
        <f t="shared" si="466"/>
        <v>???OIL_DST</v>
      </c>
      <c r="HZ68" t="s">
        <v>247</v>
      </c>
      <c r="IA68">
        <f t="shared" si="467"/>
        <v>2030</v>
      </c>
    </row>
    <row r="69" spans="1:235">
      <c r="A69">
        <v>2030</v>
      </c>
      <c r="B69" t="str">
        <f t="shared" si="572"/>
        <v>UCE_utilization_BSL_LO</v>
      </c>
      <c r="C69" t="s">
        <v>404</v>
      </c>
      <c r="D69" t="str">
        <f t="shared" si="573"/>
        <v>???BSL</v>
      </c>
      <c r="F69" s="25">
        <f t="shared" ref="F69:BQ69" si="605">ROUND(-F10*$DP$62,2)</f>
        <v>0</v>
      </c>
      <c r="G69" s="25">
        <f t="shared" si="605"/>
        <v>0</v>
      </c>
      <c r="H69" s="25">
        <f t="shared" si="605"/>
        <v>0</v>
      </c>
      <c r="I69" s="25">
        <f t="shared" si="605"/>
        <v>0</v>
      </c>
      <c r="J69" s="25">
        <f t="shared" si="605"/>
        <v>0</v>
      </c>
      <c r="K69" s="25">
        <f t="shared" si="605"/>
        <v>-0.05</v>
      </c>
      <c r="L69" s="25">
        <f t="shared" si="605"/>
        <v>-0.16</v>
      </c>
      <c r="M69" s="25">
        <f t="shared" si="605"/>
        <v>0</v>
      </c>
      <c r="N69" s="25">
        <f t="shared" si="605"/>
        <v>0</v>
      </c>
      <c r="O69" s="25">
        <f t="shared" si="605"/>
        <v>-0.21</v>
      </c>
      <c r="P69" s="25">
        <f t="shared" si="605"/>
        <v>-0.15</v>
      </c>
      <c r="Q69" s="25">
        <f t="shared" si="605"/>
        <v>-0.03</v>
      </c>
      <c r="R69" s="25">
        <f t="shared" si="605"/>
        <v>-0.01</v>
      </c>
      <c r="S69" s="25">
        <f t="shared" si="605"/>
        <v>-0.21</v>
      </c>
      <c r="T69" s="25">
        <f t="shared" si="605"/>
        <v>0</v>
      </c>
      <c r="U69" s="25">
        <f t="shared" si="605"/>
        <v>-0.07</v>
      </c>
      <c r="V69" s="25">
        <f t="shared" si="605"/>
        <v>-0.02</v>
      </c>
      <c r="W69" s="25">
        <f t="shared" si="605"/>
        <v>0</v>
      </c>
      <c r="X69" s="25">
        <f t="shared" si="605"/>
        <v>0</v>
      </c>
      <c r="Y69" s="25">
        <f t="shared" si="605"/>
        <v>-0.21</v>
      </c>
      <c r="Z69" s="25">
        <f t="shared" si="605"/>
        <v>0</v>
      </c>
      <c r="AA69" s="25">
        <f t="shared" si="605"/>
        <v>-0.21</v>
      </c>
      <c r="AB69" s="25">
        <f t="shared" si="605"/>
        <v>-0.06</v>
      </c>
      <c r="AC69" s="25">
        <f t="shared" si="605"/>
        <v>0</v>
      </c>
      <c r="AD69" s="25">
        <f t="shared" si="605"/>
        <v>0</v>
      </c>
      <c r="AE69" s="25">
        <f t="shared" si="605"/>
        <v>-0.21</v>
      </c>
      <c r="AF69" s="25">
        <f t="shared" si="605"/>
        <v>0</v>
      </c>
      <c r="AG69" s="25">
        <f t="shared" si="605"/>
        <v>-0.08</v>
      </c>
      <c r="AH69" s="25">
        <f t="shared" si="605"/>
        <v>-0.08</v>
      </c>
      <c r="AI69" s="25">
        <f t="shared" si="605"/>
        <v>0</v>
      </c>
      <c r="AJ69" s="25">
        <f t="shared" si="605"/>
        <v>-0.19</v>
      </c>
      <c r="AK69" s="25">
        <f t="shared" si="605"/>
        <v>0</v>
      </c>
      <c r="AL69" s="25">
        <f t="shared" si="605"/>
        <v>-0.01</v>
      </c>
      <c r="AM69" s="25">
        <f t="shared" si="605"/>
        <v>-0.21</v>
      </c>
      <c r="AN69" s="25">
        <f t="shared" si="605"/>
        <v>0</v>
      </c>
      <c r="AO69" s="25">
        <f t="shared" si="605"/>
        <v>0</v>
      </c>
      <c r="AP69" s="25">
        <f t="shared" si="605"/>
        <v>0</v>
      </c>
      <c r="AQ69" s="25">
        <f t="shared" si="605"/>
        <v>0</v>
      </c>
      <c r="AR69" s="25">
        <f t="shared" si="605"/>
        <v>0</v>
      </c>
      <c r="AS69" s="25">
        <f t="shared" si="605"/>
        <v>-0.21</v>
      </c>
      <c r="AT69" s="25">
        <f t="shared" si="605"/>
        <v>0</v>
      </c>
      <c r="AU69" s="25">
        <f t="shared" si="605"/>
        <v>-0.14</v>
      </c>
      <c r="AV69" s="25">
        <f t="shared" si="605"/>
        <v>0</v>
      </c>
      <c r="AW69" s="25">
        <f t="shared" si="605"/>
        <v>-0.21</v>
      </c>
      <c r="AX69" s="25">
        <f t="shared" si="605"/>
        <v>0</v>
      </c>
      <c r="AY69" s="25">
        <f t="shared" si="605"/>
        <v>0</v>
      </c>
      <c r="AZ69" s="25">
        <f t="shared" si="605"/>
        <v>0</v>
      </c>
      <c r="BA69" s="25">
        <f t="shared" si="605"/>
        <v>0</v>
      </c>
      <c r="BB69" s="25">
        <f t="shared" si="605"/>
        <v>0</v>
      </c>
      <c r="BC69" s="25">
        <f t="shared" si="605"/>
        <v>-0.21</v>
      </c>
      <c r="BD69" s="25">
        <f t="shared" si="605"/>
        <v>0</v>
      </c>
      <c r="BE69" s="25">
        <f t="shared" si="605"/>
        <v>-0.21</v>
      </c>
      <c r="BF69" s="25">
        <f t="shared" si="605"/>
        <v>-0.21</v>
      </c>
      <c r="BG69" s="25">
        <f t="shared" si="605"/>
        <v>0</v>
      </c>
      <c r="BH69" s="25">
        <f t="shared" si="605"/>
        <v>-0.03</v>
      </c>
      <c r="BI69" s="25">
        <f t="shared" si="605"/>
        <v>0</v>
      </c>
      <c r="BJ69" s="25">
        <f t="shared" si="605"/>
        <v>0</v>
      </c>
      <c r="BK69" s="25">
        <f t="shared" si="605"/>
        <v>0</v>
      </c>
      <c r="BL69" s="25">
        <f t="shared" si="605"/>
        <v>0</v>
      </c>
      <c r="BM69" s="25">
        <f t="shared" si="605"/>
        <v>0</v>
      </c>
      <c r="BN69" s="25">
        <f t="shared" si="605"/>
        <v>0</v>
      </c>
      <c r="BO69" s="25">
        <f t="shared" si="605"/>
        <v>-0.02</v>
      </c>
      <c r="BP69" s="25">
        <f t="shared" si="605"/>
        <v>0</v>
      </c>
      <c r="BQ69" s="25">
        <f t="shared" si="605"/>
        <v>-0.17</v>
      </c>
      <c r="BR69" s="25">
        <f t="shared" ref="BR69:DJ69" si="606">ROUND(-BR10*$DP$62,2)</f>
        <v>0</v>
      </c>
      <c r="BS69" s="25">
        <f t="shared" si="606"/>
        <v>0</v>
      </c>
      <c r="BT69" s="25">
        <f t="shared" si="606"/>
        <v>0</v>
      </c>
      <c r="BU69" s="25">
        <f t="shared" si="606"/>
        <v>-0.18</v>
      </c>
      <c r="BV69" s="25">
        <f t="shared" si="606"/>
        <v>0</v>
      </c>
      <c r="BW69" s="25">
        <f t="shared" si="606"/>
        <v>0</v>
      </c>
      <c r="BX69" s="25">
        <f t="shared" si="606"/>
        <v>-0.05</v>
      </c>
      <c r="BY69" s="25">
        <f t="shared" si="606"/>
        <v>0</v>
      </c>
      <c r="BZ69" s="25">
        <f t="shared" si="606"/>
        <v>-0.1</v>
      </c>
      <c r="CA69" s="25">
        <f t="shared" si="606"/>
        <v>0</v>
      </c>
      <c r="CB69" s="25">
        <f t="shared" si="606"/>
        <v>-0.02</v>
      </c>
      <c r="CC69" s="25">
        <f t="shared" si="606"/>
        <v>-0.07</v>
      </c>
      <c r="CD69" s="25">
        <f t="shared" si="606"/>
        <v>-0.08</v>
      </c>
      <c r="CE69" s="25">
        <f t="shared" si="606"/>
        <v>-0.21</v>
      </c>
      <c r="CF69" s="25">
        <f t="shared" si="606"/>
        <v>-0.1</v>
      </c>
      <c r="CG69" s="25">
        <f t="shared" si="606"/>
        <v>0</v>
      </c>
      <c r="CH69" s="25">
        <f t="shared" si="606"/>
        <v>-0.08</v>
      </c>
      <c r="CI69" s="25">
        <f t="shared" si="606"/>
        <v>0</v>
      </c>
      <c r="CJ69" s="25">
        <f t="shared" si="606"/>
        <v>0</v>
      </c>
      <c r="CK69" s="25">
        <f t="shared" si="606"/>
        <v>0</v>
      </c>
      <c r="CL69" s="25">
        <f t="shared" si="606"/>
        <v>-0.21</v>
      </c>
      <c r="CM69" s="25">
        <f t="shared" si="606"/>
        <v>-0.17</v>
      </c>
      <c r="CN69" s="25">
        <f t="shared" si="606"/>
        <v>-0.21</v>
      </c>
      <c r="CO69" s="25">
        <f t="shared" si="606"/>
        <v>0</v>
      </c>
      <c r="CP69" s="25">
        <f t="shared" si="606"/>
        <v>-0.21</v>
      </c>
      <c r="CQ69" s="25">
        <f t="shared" si="606"/>
        <v>-0.1</v>
      </c>
      <c r="CR69" s="25">
        <f t="shared" si="606"/>
        <v>0</v>
      </c>
      <c r="CS69" s="25">
        <f t="shared" si="606"/>
        <v>-0.09</v>
      </c>
      <c r="CT69" s="25">
        <f t="shared" si="606"/>
        <v>-0.02</v>
      </c>
      <c r="CU69" s="25">
        <f t="shared" si="606"/>
        <v>0</v>
      </c>
      <c r="CV69" s="25">
        <f t="shared" si="606"/>
        <v>0</v>
      </c>
      <c r="CW69" s="25">
        <f t="shared" si="606"/>
        <v>-0.03</v>
      </c>
      <c r="CX69" s="25">
        <f t="shared" si="606"/>
        <v>0</v>
      </c>
      <c r="CY69" s="25">
        <f t="shared" si="606"/>
        <v>0</v>
      </c>
      <c r="CZ69" s="25">
        <f t="shared" si="606"/>
        <v>-0.15</v>
      </c>
      <c r="DA69" s="25">
        <f t="shared" si="606"/>
        <v>0</v>
      </c>
      <c r="DB69" s="25">
        <f t="shared" si="606"/>
        <v>0</v>
      </c>
      <c r="DC69" s="25">
        <f t="shared" si="606"/>
        <v>-0.12</v>
      </c>
      <c r="DD69" s="25">
        <f t="shared" si="606"/>
        <v>0</v>
      </c>
      <c r="DE69" s="25">
        <f t="shared" si="606"/>
        <v>-0.16</v>
      </c>
      <c r="DF69" s="25">
        <f t="shared" si="606"/>
        <v>0</v>
      </c>
      <c r="DG69" s="25">
        <f t="shared" si="606"/>
        <v>0</v>
      </c>
      <c r="DH69" s="25">
        <f t="shared" si="606"/>
        <v>0</v>
      </c>
      <c r="DI69" s="25">
        <f t="shared" si="606"/>
        <v>0</v>
      </c>
      <c r="DJ69" s="25">
        <f t="shared" si="606"/>
        <v>0</v>
      </c>
      <c r="DK69" s="7">
        <f t="shared" si="564"/>
        <v>0.0317097919837646</v>
      </c>
      <c r="DL69">
        <v>0</v>
      </c>
      <c r="DM69">
        <v>5</v>
      </c>
      <c r="DS69" s="25">
        <f t="shared" si="576"/>
        <v>0</v>
      </c>
      <c r="DT69" s="25">
        <f t="shared" si="470"/>
        <v>0</v>
      </c>
      <c r="DU69" s="25">
        <f t="shared" si="471"/>
        <v>0</v>
      </c>
      <c r="DV69" s="25">
        <f t="shared" si="472"/>
        <v>0</v>
      </c>
      <c r="DW69" s="25">
        <f t="shared" si="473"/>
        <v>0</v>
      </c>
      <c r="DX69" s="25">
        <f t="shared" si="474"/>
        <v>0.05</v>
      </c>
      <c r="DY69" s="25">
        <f t="shared" si="475"/>
        <v>0.16</v>
      </c>
      <c r="DZ69" s="25">
        <f t="shared" si="476"/>
        <v>0</v>
      </c>
      <c r="EA69" s="25">
        <f t="shared" si="477"/>
        <v>0</v>
      </c>
      <c r="EB69" s="25">
        <f t="shared" si="478"/>
        <v>0.21</v>
      </c>
      <c r="EC69" s="25">
        <f t="shared" si="479"/>
        <v>0.15</v>
      </c>
      <c r="ED69" s="25">
        <f t="shared" si="480"/>
        <v>0.03</v>
      </c>
      <c r="EE69" s="25">
        <f t="shared" si="481"/>
        <v>0.01</v>
      </c>
      <c r="EF69" s="25">
        <f t="shared" si="482"/>
        <v>0.21</v>
      </c>
      <c r="EG69" s="25">
        <f t="shared" si="483"/>
        <v>0</v>
      </c>
      <c r="EH69" s="25">
        <f t="shared" si="484"/>
        <v>0.07</v>
      </c>
      <c r="EI69" s="25">
        <f t="shared" si="485"/>
        <v>0.02</v>
      </c>
      <c r="EJ69" s="25">
        <f t="shared" si="486"/>
        <v>0</v>
      </c>
      <c r="EK69" s="25">
        <f t="shared" si="487"/>
        <v>0</v>
      </c>
      <c r="EL69" s="25">
        <f t="shared" si="488"/>
        <v>0.21</v>
      </c>
      <c r="EM69" s="25">
        <f t="shared" si="489"/>
        <v>0</v>
      </c>
      <c r="EN69" s="25">
        <f t="shared" si="490"/>
        <v>0.21</v>
      </c>
      <c r="EO69" s="25">
        <f t="shared" si="491"/>
        <v>0.06</v>
      </c>
      <c r="EP69" s="25">
        <f t="shared" si="492"/>
        <v>0</v>
      </c>
      <c r="EQ69" s="25">
        <f t="shared" si="493"/>
        <v>0</v>
      </c>
      <c r="ER69" s="25">
        <f t="shared" si="494"/>
        <v>0.21</v>
      </c>
      <c r="ES69" s="25">
        <f t="shared" si="495"/>
        <v>0</v>
      </c>
      <c r="ET69" s="25">
        <f t="shared" si="496"/>
        <v>0.08</v>
      </c>
      <c r="EU69" s="25">
        <f t="shared" si="497"/>
        <v>0.08</v>
      </c>
      <c r="EV69" s="25">
        <f t="shared" si="498"/>
        <v>0</v>
      </c>
      <c r="EW69" s="25">
        <f t="shared" si="499"/>
        <v>0.19</v>
      </c>
      <c r="EX69" s="25">
        <f t="shared" si="500"/>
        <v>0</v>
      </c>
      <c r="EY69" s="25">
        <f t="shared" si="501"/>
        <v>0.01</v>
      </c>
      <c r="EZ69" s="25">
        <f t="shared" si="502"/>
        <v>0.21</v>
      </c>
      <c r="FA69" s="25">
        <f t="shared" si="503"/>
        <v>0</v>
      </c>
      <c r="FB69" s="25">
        <f t="shared" si="504"/>
        <v>0</v>
      </c>
      <c r="FC69" s="25">
        <f t="shared" si="505"/>
        <v>0</v>
      </c>
      <c r="FD69" s="25">
        <f t="shared" si="506"/>
        <v>0</v>
      </c>
      <c r="FE69" s="25">
        <f t="shared" si="507"/>
        <v>0</v>
      </c>
      <c r="FF69" s="25">
        <f t="shared" si="508"/>
        <v>0.21</v>
      </c>
      <c r="FG69" s="25">
        <f t="shared" si="509"/>
        <v>0</v>
      </c>
      <c r="FH69" s="25">
        <f t="shared" si="510"/>
        <v>0.14</v>
      </c>
      <c r="FI69" s="25">
        <f t="shared" si="511"/>
        <v>0</v>
      </c>
      <c r="FJ69" s="25">
        <f t="shared" si="512"/>
        <v>0.21</v>
      </c>
      <c r="FK69" s="25">
        <f t="shared" si="513"/>
        <v>0</v>
      </c>
      <c r="FL69" s="25">
        <f t="shared" si="514"/>
        <v>0</v>
      </c>
      <c r="FM69" s="25">
        <f t="shared" si="515"/>
        <v>0</v>
      </c>
      <c r="FN69" s="25">
        <f t="shared" si="516"/>
        <v>0</v>
      </c>
      <c r="FO69" s="25">
        <f t="shared" si="517"/>
        <v>0</v>
      </c>
      <c r="FP69" s="25">
        <f t="shared" si="518"/>
        <v>0.21</v>
      </c>
      <c r="FQ69" s="25">
        <f t="shared" si="519"/>
        <v>0</v>
      </c>
      <c r="FR69" s="25">
        <f t="shared" si="520"/>
        <v>0.21</v>
      </c>
      <c r="FS69" s="25">
        <f t="shared" si="521"/>
        <v>0.21</v>
      </c>
      <c r="FT69" s="25">
        <f t="shared" si="522"/>
        <v>0</v>
      </c>
      <c r="FU69" s="25">
        <f t="shared" si="523"/>
        <v>0.03</v>
      </c>
      <c r="FV69" s="25">
        <f t="shared" si="524"/>
        <v>0</v>
      </c>
      <c r="FW69" s="25">
        <f t="shared" si="525"/>
        <v>0</v>
      </c>
      <c r="FX69" s="25">
        <f t="shared" si="526"/>
        <v>0</v>
      </c>
      <c r="FY69" s="25">
        <f t="shared" si="527"/>
        <v>0</v>
      </c>
      <c r="FZ69" s="25">
        <f t="shared" si="528"/>
        <v>0</v>
      </c>
      <c r="GA69" s="25">
        <f t="shared" si="529"/>
        <v>0</v>
      </c>
      <c r="GB69" s="25">
        <f t="shared" si="530"/>
        <v>0.02</v>
      </c>
      <c r="GC69" s="25">
        <f t="shared" si="531"/>
        <v>0</v>
      </c>
      <c r="GD69" s="25">
        <f t="shared" si="532"/>
        <v>0.17</v>
      </c>
      <c r="GE69" s="25">
        <f t="shared" si="533"/>
        <v>0</v>
      </c>
      <c r="GF69" s="25">
        <f t="shared" si="533"/>
        <v>0</v>
      </c>
      <c r="GG69" s="25">
        <f t="shared" si="533"/>
        <v>0</v>
      </c>
      <c r="GH69" s="25">
        <f t="shared" si="533"/>
        <v>0.18</v>
      </c>
      <c r="GI69" s="25">
        <f t="shared" si="533"/>
        <v>0</v>
      </c>
      <c r="GJ69" s="25">
        <f t="shared" si="533"/>
        <v>0</v>
      </c>
      <c r="GK69" s="25">
        <f t="shared" si="533"/>
        <v>0.05</v>
      </c>
      <c r="GL69" s="25">
        <f t="shared" si="533"/>
        <v>0</v>
      </c>
      <c r="GM69" s="25">
        <f t="shared" si="533"/>
        <v>0.1</v>
      </c>
      <c r="GN69" s="25">
        <f t="shared" si="533"/>
        <v>0</v>
      </c>
      <c r="GO69" s="25">
        <f t="shared" si="533"/>
        <v>0.02</v>
      </c>
      <c r="GP69" s="25">
        <f t="shared" si="533"/>
        <v>0.07</v>
      </c>
      <c r="GQ69" s="25">
        <f t="shared" si="533"/>
        <v>0.08</v>
      </c>
      <c r="GR69" s="25">
        <f t="shared" si="533"/>
        <v>0.21</v>
      </c>
      <c r="GS69" s="25">
        <f t="shared" si="533"/>
        <v>0.1</v>
      </c>
      <c r="GT69" s="25">
        <f t="shared" si="533"/>
        <v>0</v>
      </c>
      <c r="GU69" s="25">
        <f t="shared" si="533"/>
        <v>0.08</v>
      </c>
      <c r="GV69" s="25">
        <f t="shared" si="577"/>
        <v>0</v>
      </c>
      <c r="GW69" s="25">
        <f t="shared" si="578"/>
        <v>0</v>
      </c>
      <c r="GX69" s="25">
        <f t="shared" si="579"/>
        <v>0</v>
      </c>
      <c r="GY69" s="25">
        <f t="shared" si="580"/>
        <v>0.21</v>
      </c>
      <c r="GZ69" s="25">
        <f t="shared" si="581"/>
        <v>0.17</v>
      </c>
      <c r="HA69" s="25">
        <f t="shared" si="582"/>
        <v>0.21</v>
      </c>
      <c r="HB69" s="25">
        <f t="shared" si="583"/>
        <v>0</v>
      </c>
      <c r="HC69" s="25">
        <f t="shared" si="584"/>
        <v>0.21</v>
      </c>
      <c r="HD69" s="25">
        <f t="shared" si="585"/>
        <v>0.1</v>
      </c>
      <c r="HE69" s="25">
        <f t="shared" si="586"/>
        <v>0</v>
      </c>
      <c r="HF69" s="25">
        <f t="shared" si="587"/>
        <v>0.09</v>
      </c>
      <c r="HG69" s="25">
        <f t="shared" si="588"/>
        <v>0.02</v>
      </c>
      <c r="HH69" s="25">
        <f t="shared" si="589"/>
        <v>0</v>
      </c>
      <c r="HI69" s="25">
        <f t="shared" si="590"/>
        <v>0</v>
      </c>
      <c r="HJ69" s="25">
        <f t="shared" si="591"/>
        <v>0.03</v>
      </c>
      <c r="HK69" s="25">
        <f t="shared" si="592"/>
        <v>0</v>
      </c>
      <c r="HL69" s="25">
        <f t="shared" si="593"/>
        <v>0</v>
      </c>
      <c r="HM69" s="25">
        <f t="shared" si="594"/>
        <v>0.15</v>
      </c>
      <c r="HN69" s="25">
        <f t="shared" si="595"/>
        <v>0</v>
      </c>
      <c r="HO69" s="25">
        <f t="shared" si="596"/>
        <v>0</v>
      </c>
      <c r="HP69" s="25">
        <f t="shared" si="597"/>
        <v>0.12</v>
      </c>
      <c r="HQ69" s="25">
        <f t="shared" si="598"/>
        <v>0</v>
      </c>
      <c r="HR69" s="25">
        <f t="shared" si="599"/>
        <v>0.16</v>
      </c>
      <c r="HS69" s="25">
        <f t="shared" si="600"/>
        <v>0</v>
      </c>
      <c r="HT69" s="25">
        <f t="shared" si="601"/>
        <v>0</v>
      </c>
      <c r="HU69" s="25">
        <f t="shared" si="602"/>
        <v>0</v>
      </c>
      <c r="HV69" s="25">
        <f t="shared" si="603"/>
        <v>0</v>
      </c>
      <c r="HW69" s="25">
        <f t="shared" si="604"/>
        <v>0</v>
      </c>
      <c r="HX69" s="25" t="str">
        <f t="shared" si="466"/>
        <v>ELE,CHP</v>
      </c>
      <c r="HY69" s="25" t="str">
        <f t="shared" si="466"/>
        <v>???BSL</v>
      </c>
      <c r="HZ69" t="s">
        <v>247</v>
      </c>
      <c r="IA69">
        <f t="shared" si="467"/>
        <v>2030</v>
      </c>
    </row>
    <row r="72" spans="2:2">
      <c r="B72" t="s">
        <v>485</v>
      </c>
    </row>
    <row r="74" spans="2:2">
      <c r="B74" t="s">
        <v>486</v>
      </c>
    </row>
    <row r="75" spans="2:7">
      <c r="B75" t="s">
        <v>5</v>
      </c>
      <c r="C75" t="s">
        <v>73</v>
      </c>
      <c r="D75" t="s">
        <v>43</v>
      </c>
      <c r="E75">
        <v>2020</v>
      </c>
      <c r="F75">
        <v>0</v>
      </c>
      <c r="G75" t="s">
        <v>267</v>
      </c>
    </row>
    <row r="76" spans="2:6">
      <c r="B76" t="s">
        <v>487</v>
      </c>
      <c r="C76" t="s">
        <v>488</v>
      </c>
      <c r="D76" t="s">
        <v>151</v>
      </c>
      <c r="E76">
        <v>0.4</v>
      </c>
      <c r="F76">
        <v>3</v>
      </c>
    </row>
    <row r="77" spans="2:7">
      <c r="B77" t="s">
        <v>489</v>
      </c>
      <c r="C77" t="s">
        <v>488</v>
      </c>
      <c r="D77" t="s">
        <v>50</v>
      </c>
      <c r="E77">
        <v>0.4</v>
      </c>
      <c r="F77">
        <v>3</v>
      </c>
      <c r="G77" s="51" t="s">
        <v>490</v>
      </c>
    </row>
  </sheetData>
  <conditionalFormatting sqref="F4:DK10 F12:DJ12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1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AW35"/>
  <sheetViews>
    <sheetView zoomScale="45" zoomScaleNormal="45" workbookViewId="0">
      <selection activeCell="AH34" sqref="AH34"/>
    </sheetView>
  </sheetViews>
  <sheetFormatPr defaultColWidth="9" defaultRowHeight="14.5"/>
  <cols>
    <col min="1" max="1" width="19.2636363636364" customWidth="1"/>
    <col min="2" max="2" width="11.8636363636364" customWidth="1"/>
    <col min="3" max="3" width="12.2636363636364" customWidth="1"/>
    <col min="4" max="4" width="10.2636363636364" customWidth="1"/>
    <col min="5" max="5" width="11.8636363636364" customWidth="1"/>
    <col min="6" max="6" width="7.86363636363636" customWidth="1"/>
    <col min="7" max="7" width="12.8636363636364" customWidth="1"/>
    <col min="8" max="8" width="19.1363636363636" customWidth="1"/>
    <col min="9" max="9" width="6.72727272727273" customWidth="1"/>
    <col min="10" max="10" width="8.72727272727273" customWidth="1"/>
    <col min="11" max="11" width="8.4" customWidth="1"/>
    <col min="12" max="13" width="6" customWidth="1"/>
    <col min="14" max="14" width="5" customWidth="1"/>
    <col min="15" max="16" width="6" customWidth="1"/>
    <col min="17" max="17" width="5" customWidth="1"/>
    <col min="18" max="19" width="6" customWidth="1"/>
    <col min="20" max="20" width="5" customWidth="1"/>
    <col min="21" max="22" width="6" customWidth="1"/>
    <col min="23" max="23" width="5" customWidth="1"/>
    <col min="24" max="25" width="6" customWidth="1"/>
    <col min="26" max="27" width="4" customWidth="1"/>
    <col min="29" max="29" width="14.6" customWidth="1"/>
    <col min="30" max="30" width="2" customWidth="1"/>
    <col min="31" max="31" width="5" customWidth="1"/>
    <col min="32" max="32" width="6" customWidth="1"/>
    <col min="33" max="33" width="3" customWidth="1"/>
    <col min="34" max="34" width="5" customWidth="1"/>
    <col min="35" max="35" width="6" customWidth="1"/>
    <col min="36" max="36" width="3" customWidth="1"/>
    <col min="37" max="37" width="5" customWidth="1"/>
    <col min="38" max="38" width="6" customWidth="1"/>
    <col min="39" max="39" width="4" customWidth="1"/>
    <col min="40" max="40" width="5" customWidth="1"/>
    <col min="41" max="41" width="6" customWidth="1"/>
    <col min="42" max="42" width="4" customWidth="1"/>
    <col min="43" max="43" width="5" customWidth="1"/>
    <col min="44" max="44" width="6" customWidth="1"/>
    <col min="45" max="46" width="4" customWidth="1"/>
    <col min="47" max="47" width="5" customWidth="1"/>
    <col min="48" max="49" width="4" customWidth="1"/>
  </cols>
  <sheetData>
    <row r="1" ht="17.75" spans="1:29">
      <c r="A1" s="19" t="s">
        <v>491</v>
      </c>
      <c r="AC1" s="20" t="s">
        <v>492</v>
      </c>
    </row>
    <row r="2" ht="16" spans="1:44">
      <c r="A2" t="s">
        <v>493</v>
      </c>
      <c r="B2" t="s">
        <v>494</v>
      </c>
      <c r="C2" t="s">
        <v>495</v>
      </c>
      <c r="D2" t="s">
        <v>496</v>
      </c>
      <c r="E2" t="s">
        <v>497</v>
      </c>
      <c r="F2" t="s">
        <v>498</v>
      </c>
      <c r="G2" t="s">
        <v>499</v>
      </c>
      <c r="H2" t="s">
        <v>500</v>
      </c>
      <c r="I2" t="s">
        <v>501</v>
      </c>
      <c r="J2">
        <v>1</v>
      </c>
      <c r="K2">
        <v>39</v>
      </c>
      <c r="L2">
        <v>40</v>
      </c>
      <c r="M2">
        <v>41</v>
      </c>
      <c r="N2">
        <v>79</v>
      </c>
      <c r="O2">
        <v>80</v>
      </c>
      <c r="P2">
        <v>81</v>
      </c>
      <c r="Q2">
        <v>119</v>
      </c>
      <c r="R2">
        <v>120</v>
      </c>
      <c r="S2">
        <v>121</v>
      </c>
      <c r="T2">
        <v>159</v>
      </c>
      <c r="U2">
        <v>160</v>
      </c>
      <c r="V2">
        <v>161</v>
      </c>
      <c r="W2">
        <v>199</v>
      </c>
      <c r="X2">
        <v>200</v>
      </c>
      <c r="AC2" s="21" t="s">
        <v>502</v>
      </c>
      <c r="AD2" s="21">
        <f t="shared" ref="AD2:AR3" si="0">J2</f>
        <v>1</v>
      </c>
      <c r="AE2" s="21">
        <f t="shared" si="0"/>
        <v>39</v>
      </c>
      <c r="AF2" s="21">
        <f t="shared" si="0"/>
        <v>40</v>
      </c>
      <c r="AG2" s="21">
        <f t="shared" si="0"/>
        <v>41</v>
      </c>
      <c r="AH2" s="21">
        <f t="shared" si="0"/>
        <v>79</v>
      </c>
      <c r="AI2" s="21">
        <f t="shared" si="0"/>
        <v>80</v>
      </c>
      <c r="AJ2" s="21">
        <f t="shared" si="0"/>
        <v>81</v>
      </c>
      <c r="AK2" s="21">
        <f t="shared" si="0"/>
        <v>119</v>
      </c>
      <c r="AL2" s="21">
        <f t="shared" si="0"/>
        <v>120</v>
      </c>
      <c r="AM2" s="21">
        <f t="shared" si="0"/>
        <v>121</v>
      </c>
      <c r="AN2" s="21">
        <f t="shared" si="0"/>
        <v>159</v>
      </c>
      <c r="AO2" s="21">
        <f t="shared" si="0"/>
        <v>160</v>
      </c>
      <c r="AP2" s="21">
        <f t="shared" si="0"/>
        <v>161</v>
      </c>
      <c r="AQ2" s="21">
        <f t="shared" si="0"/>
        <v>199</v>
      </c>
      <c r="AR2" s="21">
        <f t="shared" si="0"/>
        <v>200</v>
      </c>
    </row>
    <row r="3" spans="1:44">
      <c r="A3" t="s">
        <v>503</v>
      </c>
      <c r="B3" t="s">
        <v>504</v>
      </c>
      <c r="C3" t="s">
        <v>505</v>
      </c>
      <c r="D3" t="s">
        <v>505</v>
      </c>
      <c r="E3" t="s">
        <v>506</v>
      </c>
      <c r="F3" s="7">
        <v>39.18</v>
      </c>
      <c r="G3" s="7" t="s">
        <v>507</v>
      </c>
      <c r="H3" s="7">
        <v>43.5</v>
      </c>
      <c r="I3">
        <v>81</v>
      </c>
      <c r="J3">
        <v>1</v>
      </c>
      <c r="K3">
        <v>1.11</v>
      </c>
      <c r="L3">
        <v>6.18</v>
      </c>
      <c r="M3">
        <v>1</v>
      </c>
      <c r="N3">
        <v>1.11</v>
      </c>
      <c r="O3">
        <v>6.18</v>
      </c>
      <c r="P3">
        <v>1</v>
      </c>
      <c r="Q3">
        <v>1.11</v>
      </c>
      <c r="R3">
        <v>6.18</v>
      </c>
      <c r="S3">
        <v>1</v>
      </c>
      <c r="T3">
        <v>1.11</v>
      </c>
      <c r="U3">
        <v>6.18</v>
      </c>
      <c r="V3">
        <v>1</v>
      </c>
      <c r="W3">
        <v>1.11</v>
      </c>
      <c r="X3">
        <v>6.18</v>
      </c>
      <c r="AC3">
        <f t="shared" ref="AC3:AR4" si="1">I3</f>
        <v>81</v>
      </c>
      <c r="AD3">
        <f t="shared" si="0"/>
        <v>1</v>
      </c>
      <c r="AE3">
        <f t="shared" si="0"/>
        <v>1.11</v>
      </c>
      <c r="AF3">
        <f t="shared" si="0"/>
        <v>6.18</v>
      </c>
      <c r="AG3">
        <f t="shared" si="0"/>
        <v>1</v>
      </c>
      <c r="AH3">
        <f t="shared" si="0"/>
        <v>1.11</v>
      </c>
      <c r="AI3">
        <f t="shared" si="0"/>
        <v>6.18</v>
      </c>
      <c r="AJ3">
        <f t="shared" si="0"/>
        <v>1</v>
      </c>
      <c r="AK3">
        <f t="shared" si="0"/>
        <v>1.11</v>
      </c>
      <c r="AL3">
        <f t="shared" si="0"/>
        <v>6.18</v>
      </c>
      <c r="AM3">
        <f t="shared" si="0"/>
        <v>1</v>
      </c>
      <c r="AN3">
        <f t="shared" si="0"/>
        <v>1.11</v>
      </c>
      <c r="AO3">
        <f t="shared" si="0"/>
        <v>6.18</v>
      </c>
      <c r="AP3">
        <f t="shared" si="0"/>
        <v>1</v>
      </c>
      <c r="AQ3">
        <f t="shared" si="0"/>
        <v>1.11</v>
      </c>
      <c r="AR3">
        <f t="shared" si="0"/>
        <v>6.18</v>
      </c>
    </row>
    <row r="4" spans="1:44">
      <c r="A4" t="s">
        <v>508</v>
      </c>
      <c r="B4" t="s">
        <v>505</v>
      </c>
      <c r="C4" t="s">
        <v>509</v>
      </c>
      <c r="D4" t="s">
        <v>505</v>
      </c>
      <c r="E4" t="s">
        <v>506</v>
      </c>
      <c r="F4" s="7">
        <v>19.34</v>
      </c>
      <c r="G4" s="7" t="s">
        <v>507</v>
      </c>
      <c r="H4" s="7">
        <v>28.67</v>
      </c>
      <c r="I4">
        <v>82</v>
      </c>
      <c r="J4">
        <v>1</v>
      </c>
      <c r="K4">
        <v>1.48</v>
      </c>
      <c r="L4">
        <v>10</v>
      </c>
      <c r="M4">
        <v>1</v>
      </c>
      <c r="N4">
        <v>1.48</v>
      </c>
      <c r="O4">
        <v>10</v>
      </c>
      <c r="P4">
        <v>1</v>
      </c>
      <c r="Q4">
        <v>1.48</v>
      </c>
      <c r="R4">
        <v>10</v>
      </c>
      <c r="S4">
        <v>1</v>
      </c>
      <c r="T4">
        <v>1.48</v>
      </c>
      <c r="U4">
        <v>10</v>
      </c>
      <c r="V4">
        <v>1</v>
      </c>
      <c r="W4">
        <v>1.48</v>
      </c>
      <c r="X4">
        <v>10</v>
      </c>
      <c r="AC4">
        <f t="shared" si="1"/>
        <v>82</v>
      </c>
      <c r="AD4">
        <f t="shared" si="1"/>
        <v>1</v>
      </c>
      <c r="AE4">
        <f t="shared" si="1"/>
        <v>1.48</v>
      </c>
      <c r="AF4">
        <f t="shared" si="1"/>
        <v>10</v>
      </c>
      <c r="AG4">
        <f t="shared" si="1"/>
        <v>1</v>
      </c>
      <c r="AH4">
        <f t="shared" si="1"/>
        <v>1.48</v>
      </c>
      <c r="AI4">
        <f t="shared" si="1"/>
        <v>10</v>
      </c>
      <c r="AJ4">
        <f t="shared" si="1"/>
        <v>1</v>
      </c>
      <c r="AK4">
        <f t="shared" si="1"/>
        <v>1.48</v>
      </c>
      <c r="AL4">
        <f t="shared" si="1"/>
        <v>10</v>
      </c>
      <c r="AM4">
        <f t="shared" si="1"/>
        <v>1</v>
      </c>
      <c r="AN4">
        <f t="shared" si="1"/>
        <v>1.48</v>
      </c>
      <c r="AO4">
        <f t="shared" si="1"/>
        <v>10</v>
      </c>
      <c r="AP4">
        <f t="shared" si="1"/>
        <v>1</v>
      </c>
      <c r="AQ4">
        <f t="shared" si="1"/>
        <v>1.48</v>
      </c>
      <c r="AR4">
        <f t="shared" si="1"/>
        <v>10</v>
      </c>
    </row>
    <row r="6" ht="17.75" spans="29:29">
      <c r="AC6" s="20" t="s">
        <v>492</v>
      </c>
    </row>
    <row r="7" ht="16" spans="1:49">
      <c r="A7" t="s">
        <v>493</v>
      </c>
      <c r="B7" t="s">
        <v>494</v>
      </c>
      <c r="C7" t="s">
        <v>495</v>
      </c>
      <c r="D7" t="s">
        <v>496</v>
      </c>
      <c r="E7" t="s">
        <v>497</v>
      </c>
      <c r="F7" t="s">
        <v>498</v>
      </c>
      <c r="G7" t="s">
        <v>501</v>
      </c>
      <c r="H7">
        <v>1</v>
      </c>
      <c r="I7">
        <v>29</v>
      </c>
      <c r="J7">
        <v>30</v>
      </c>
      <c r="K7">
        <v>31</v>
      </c>
      <c r="L7">
        <v>59</v>
      </c>
      <c r="M7">
        <v>60</v>
      </c>
      <c r="N7">
        <v>61</v>
      </c>
      <c r="O7">
        <v>89</v>
      </c>
      <c r="P7">
        <v>90</v>
      </c>
      <c r="Q7">
        <v>91</v>
      </c>
      <c r="R7">
        <v>119</v>
      </c>
      <c r="S7">
        <v>120</v>
      </c>
      <c r="T7">
        <v>121</v>
      </c>
      <c r="U7">
        <v>149</v>
      </c>
      <c r="V7">
        <v>150</v>
      </c>
      <c r="W7">
        <v>151</v>
      </c>
      <c r="X7">
        <v>179</v>
      </c>
      <c r="Y7">
        <v>180</v>
      </c>
      <c r="Z7">
        <v>181</v>
      </c>
      <c r="AA7">
        <v>200</v>
      </c>
      <c r="AC7" s="21" t="s">
        <v>502</v>
      </c>
      <c r="AD7" s="21">
        <f t="shared" ref="AD7:AS9" si="2">H7</f>
        <v>1</v>
      </c>
      <c r="AE7" s="21">
        <f t="shared" si="2"/>
        <v>29</v>
      </c>
      <c r="AF7" s="21">
        <f t="shared" si="2"/>
        <v>30</v>
      </c>
      <c r="AG7" s="21">
        <f t="shared" si="2"/>
        <v>31</v>
      </c>
      <c r="AH7" s="21">
        <f t="shared" si="2"/>
        <v>59</v>
      </c>
      <c r="AI7" s="21">
        <f t="shared" si="2"/>
        <v>60</v>
      </c>
      <c r="AJ7" s="21">
        <f t="shared" si="2"/>
        <v>61</v>
      </c>
      <c r="AK7" s="21">
        <f t="shared" si="2"/>
        <v>89</v>
      </c>
      <c r="AL7" s="21">
        <f t="shared" si="2"/>
        <v>90</v>
      </c>
      <c r="AM7" s="21">
        <f t="shared" si="2"/>
        <v>91</v>
      </c>
      <c r="AN7" s="21">
        <f t="shared" si="2"/>
        <v>119</v>
      </c>
      <c r="AO7" s="21">
        <f t="shared" si="2"/>
        <v>120</v>
      </c>
      <c r="AP7" s="21">
        <f t="shared" si="2"/>
        <v>121</v>
      </c>
      <c r="AQ7" s="21">
        <f t="shared" si="2"/>
        <v>149</v>
      </c>
      <c r="AR7" s="21">
        <f t="shared" si="2"/>
        <v>150</v>
      </c>
      <c r="AS7" s="21">
        <f t="shared" si="2"/>
        <v>151</v>
      </c>
      <c r="AT7" s="21">
        <f t="shared" ref="AN7:AW9" si="3">X7</f>
        <v>179</v>
      </c>
      <c r="AU7" s="21">
        <f t="shared" si="3"/>
        <v>180</v>
      </c>
      <c r="AV7" s="21">
        <f t="shared" si="3"/>
        <v>181</v>
      </c>
      <c r="AW7" s="21">
        <f t="shared" si="3"/>
        <v>200</v>
      </c>
    </row>
    <row r="8" spans="1:49">
      <c r="A8" t="s">
        <v>510</v>
      </c>
      <c r="B8" t="s">
        <v>505</v>
      </c>
      <c r="C8" t="s">
        <v>505</v>
      </c>
      <c r="D8" t="s">
        <v>505</v>
      </c>
      <c r="E8" t="s">
        <v>511</v>
      </c>
      <c r="F8" s="7">
        <v>30.18</v>
      </c>
      <c r="G8">
        <v>83</v>
      </c>
      <c r="H8">
        <v>1</v>
      </c>
      <c r="I8">
        <v>1</v>
      </c>
      <c r="J8">
        <v>3.72</v>
      </c>
      <c r="K8">
        <v>1</v>
      </c>
      <c r="L8">
        <v>1</v>
      </c>
      <c r="M8">
        <v>3.72</v>
      </c>
      <c r="N8">
        <v>1</v>
      </c>
      <c r="O8">
        <v>1</v>
      </c>
      <c r="P8">
        <v>3.72</v>
      </c>
      <c r="Q8">
        <v>1</v>
      </c>
      <c r="R8">
        <v>1</v>
      </c>
      <c r="S8">
        <v>3.72</v>
      </c>
      <c r="T8">
        <v>1</v>
      </c>
      <c r="U8">
        <v>1</v>
      </c>
      <c r="V8">
        <v>3.72</v>
      </c>
      <c r="W8">
        <v>1</v>
      </c>
      <c r="X8">
        <v>1</v>
      </c>
      <c r="Y8">
        <v>3.72</v>
      </c>
      <c r="Z8">
        <v>1</v>
      </c>
      <c r="AA8">
        <v>3.72</v>
      </c>
      <c r="AC8">
        <f t="shared" ref="AC8:AC9" si="4">G8</f>
        <v>83</v>
      </c>
      <c r="AD8">
        <f t="shared" si="2"/>
        <v>1</v>
      </c>
      <c r="AE8">
        <f t="shared" si="2"/>
        <v>1</v>
      </c>
      <c r="AF8">
        <f t="shared" si="2"/>
        <v>3.72</v>
      </c>
      <c r="AG8">
        <f t="shared" si="2"/>
        <v>1</v>
      </c>
      <c r="AH8">
        <f t="shared" si="2"/>
        <v>1</v>
      </c>
      <c r="AI8">
        <f t="shared" si="2"/>
        <v>3.72</v>
      </c>
      <c r="AJ8">
        <f t="shared" si="2"/>
        <v>1</v>
      </c>
      <c r="AK8">
        <f t="shared" si="2"/>
        <v>1</v>
      </c>
      <c r="AL8">
        <f t="shared" si="2"/>
        <v>3.72</v>
      </c>
      <c r="AM8">
        <f t="shared" si="2"/>
        <v>1</v>
      </c>
      <c r="AN8">
        <f t="shared" si="3"/>
        <v>1</v>
      </c>
      <c r="AO8">
        <f t="shared" si="3"/>
        <v>3.72</v>
      </c>
      <c r="AP8">
        <f t="shared" si="3"/>
        <v>1</v>
      </c>
      <c r="AQ8">
        <f t="shared" si="3"/>
        <v>1</v>
      </c>
      <c r="AR8">
        <f t="shared" si="3"/>
        <v>3.72</v>
      </c>
      <c r="AS8">
        <f t="shared" si="3"/>
        <v>1</v>
      </c>
      <c r="AT8">
        <f t="shared" si="3"/>
        <v>1</v>
      </c>
      <c r="AU8">
        <f t="shared" si="3"/>
        <v>3.72</v>
      </c>
      <c r="AV8">
        <f t="shared" si="3"/>
        <v>1</v>
      </c>
      <c r="AW8">
        <f t="shared" si="3"/>
        <v>3.72</v>
      </c>
    </row>
    <row r="9" spans="1:49">
      <c r="A9" t="s">
        <v>512</v>
      </c>
      <c r="B9" t="s">
        <v>505</v>
      </c>
      <c r="C9" t="s">
        <v>505</v>
      </c>
      <c r="D9" t="s">
        <v>505</v>
      </c>
      <c r="E9" t="s">
        <v>511</v>
      </c>
      <c r="F9" s="7">
        <v>19.73</v>
      </c>
      <c r="G9">
        <v>84</v>
      </c>
      <c r="H9">
        <v>1</v>
      </c>
      <c r="I9">
        <v>1</v>
      </c>
      <c r="J9">
        <v>13.27</v>
      </c>
      <c r="K9">
        <v>1</v>
      </c>
      <c r="L9">
        <v>1</v>
      </c>
      <c r="M9">
        <v>13.27</v>
      </c>
      <c r="N9">
        <v>1</v>
      </c>
      <c r="O9">
        <v>1</v>
      </c>
      <c r="P9">
        <v>13.27</v>
      </c>
      <c r="Q9">
        <v>1</v>
      </c>
      <c r="R9">
        <v>1</v>
      </c>
      <c r="S9">
        <v>13.27</v>
      </c>
      <c r="T9">
        <v>1</v>
      </c>
      <c r="U9">
        <v>1</v>
      </c>
      <c r="V9">
        <v>13.27</v>
      </c>
      <c r="W9">
        <v>1</v>
      </c>
      <c r="X9">
        <v>1</v>
      </c>
      <c r="Y9">
        <v>13.27</v>
      </c>
      <c r="Z9">
        <v>1</v>
      </c>
      <c r="AA9">
        <v>13.27</v>
      </c>
      <c r="AC9">
        <f t="shared" si="4"/>
        <v>84</v>
      </c>
      <c r="AD9">
        <f t="shared" si="2"/>
        <v>1</v>
      </c>
      <c r="AE9">
        <f t="shared" si="2"/>
        <v>1</v>
      </c>
      <c r="AF9">
        <f t="shared" si="2"/>
        <v>13.27</v>
      </c>
      <c r="AG9">
        <f t="shared" si="2"/>
        <v>1</v>
      </c>
      <c r="AH9">
        <f t="shared" si="2"/>
        <v>1</v>
      </c>
      <c r="AI9">
        <f t="shared" si="2"/>
        <v>13.27</v>
      </c>
      <c r="AJ9">
        <f t="shared" si="2"/>
        <v>1</v>
      </c>
      <c r="AK9">
        <f t="shared" si="2"/>
        <v>1</v>
      </c>
      <c r="AL9">
        <f t="shared" si="2"/>
        <v>13.27</v>
      </c>
      <c r="AM9">
        <f t="shared" si="2"/>
        <v>1</v>
      </c>
      <c r="AN9">
        <f t="shared" si="3"/>
        <v>1</v>
      </c>
      <c r="AO9">
        <f t="shared" si="3"/>
        <v>13.27</v>
      </c>
      <c r="AP9">
        <f t="shared" si="3"/>
        <v>1</v>
      </c>
      <c r="AQ9">
        <f t="shared" si="3"/>
        <v>1</v>
      </c>
      <c r="AR9">
        <f t="shared" si="3"/>
        <v>13.27</v>
      </c>
      <c r="AS9">
        <f t="shared" si="3"/>
        <v>1</v>
      </c>
      <c r="AT9">
        <f t="shared" si="3"/>
        <v>1</v>
      </c>
      <c r="AU9">
        <f t="shared" si="3"/>
        <v>13.27</v>
      </c>
      <c r="AV9">
        <f t="shared" si="3"/>
        <v>1</v>
      </c>
      <c r="AW9">
        <f t="shared" si="3"/>
        <v>13.27</v>
      </c>
    </row>
    <row r="12" spans="1:1">
      <c r="A12" s="19" t="s">
        <v>513</v>
      </c>
    </row>
    <row r="13" spans="1:3">
      <c r="A13" s="13" t="s">
        <v>514</v>
      </c>
      <c r="B13" s="13"/>
      <c r="C13" s="13"/>
    </row>
    <row r="14" spans="1:3">
      <c r="A14" s="13" t="s">
        <v>515</v>
      </c>
      <c r="B14" s="13"/>
      <c r="C14" s="13"/>
    </row>
    <row r="15" spans="1:3">
      <c r="A15" s="13" t="s">
        <v>516</v>
      </c>
      <c r="B15" s="13"/>
      <c r="C15" s="13"/>
    </row>
    <row r="17" spans="1:3">
      <c r="A17" s="13" t="s">
        <v>517</v>
      </c>
      <c r="B17" s="13" t="s">
        <v>518</v>
      </c>
      <c r="C17" s="13" t="s">
        <v>519</v>
      </c>
    </row>
    <row r="18" spans="1:3">
      <c r="A18" s="13" t="s">
        <v>520</v>
      </c>
      <c r="B18" s="13" t="s">
        <v>521</v>
      </c>
      <c r="C18" s="13">
        <v>253</v>
      </c>
    </row>
    <row r="19" spans="1:7">
      <c r="A19" s="13" t="s">
        <v>522</v>
      </c>
      <c r="B19" s="13" t="s">
        <v>521</v>
      </c>
      <c r="C19" s="13">
        <v>203</v>
      </c>
      <c r="G19" t="s">
        <v>89</v>
      </c>
    </row>
    <row r="20" spans="1:13">
      <c r="A20" s="13" t="s">
        <v>523</v>
      </c>
      <c r="B20" s="13" t="s">
        <v>524</v>
      </c>
      <c r="C20" s="13">
        <v>82</v>
      </c>
      <c r="G20" t="s">
        <v>73</v>
      </c>
      <c r="H20" t="s">
        <v>92</v>
      </c>
      <c r="I20" t="s">
        <v>502</v>
      </c>
      <c r="J20" t="s">
        <v>125</v>
      </c>
      <c r="K20" t="s">
        <v>265</v>
      </c>
      <c r="L20">
        <v>2019</v>
      </c>
      <c r="M20">
        <v>0</v>
      </c>
    </row>
    <row r="21" spans="1:13">
      <c r="A21" s="13" t="s">
        <v>525</v>
      </c>
      <c r="B21" s="13" t="s">
        <v>524</v>
      </c>
      <c r="C21" s="13">
        <v>242</v>
      </c>
      <c r="G21" t="s">
        <v>526</v>
      </c>
      <c r="H21" t="s">
        <v>527</v>
      </c>
      <c r="K21" t="s">
        <v>528</v>
      </c>
      <c r="L21">
        <f>AC3</f>
        <v>81</v>
      </c>
      <c r="M21">
        <v>2</v>
      </c>
    </row>
    <row r="22" spans="1:13">
      <c r="A22" s="13" t="s">
        <v>529</v>
      </c>
      <c r="B22" s="13" t="s">
        <v>524</v>
      </c>
      <c r="C22" s="13">
        <v>226</v>
      </c>
      <c r="G22" t="s">
        <v>526</v>
      </c>
      <c r="H22" t="s">
        <v>530</v>
      </c>
      <c r="L22">
        <f>AC4</f>
        <v>82</v>
      </c>
      <c r="M22">
        <v>2</v>
      </c>
    </row>
    <row r="23" spans="1:13">
      <c r="A23" s="13" t="s">
        <v>531</v>
      </c>
      <c r="B23" s="13" t="s">
        <v>521</v>
      </c>
      <c r="C23" s="13">
        <v>174</v>
      </c>
      <c r="G23" t="s">
        <v>526</v>
      </c>
      <c r="H23" t="s">
        <v>532</v>
      </c>
      <c r="L23">
        <f>AC8</f>
        <v>83</v>
      </c>
      <c r="M23">
        <v>2</v>
      </c>
    </row>
    <row r="24" spans="1:13">
      <c r="A24" s="13" t="s">
        <v>533</v>
      </c>
      <c r="B24" s="13" t="s">
        <v>521</v>
      </c>
      <c r="C24" s="13">
        <v>258</v>
      </c>
      <c r="G24" t="s">
        <v>526</v>
      </c>
      <c r="H24" t="s">
        <v>534</v>
      </c>
      <c r="L24">
        <f>AC9</f>
        <v>84</v>
      </c>
      <c r="M24">
        <v>2</v>
      </c>
    </row>
    <row r="25" spans="1:3">
      <c r="A25" s="13" t="s">
        <v>535</v>
      </c>
      <c r="B25" s="13" t="s">
        <v>536</v>
      </c>
      <c r="C25" s="13">
        <v>135</v>
      </c>
    </row>
    <row r="30" spans="1:1">
      <c r="A30" t="s">
        <v>53</v>
      </c>
    </row>
    <row r="31" spans="1:4">
      <c r="A31" t="s">
        <v>56</v>
      </c>
      <c r="B31" t="s">
        <v>537</v>
      </c>
      <c r="C31" t="s">
        <v>57</v>
      </c>
      <c r="D31" t="s">
        <v>60</v>
      </c>
    </row>
    <row r="32" spans="1:6">
      <c r="A32" t="s">
        <v>501</v>
      </c>
      <c r="B32">
        <v>85</v>
      </c>
      <c r="C32">
        <v>1</v>
      </c>
      <c r="D32">
        <v>1</v>
      </c>
      <c r="F32" t="s">
        <v>538</v>
      </c>
    </row>
    <row r="33" spans="1:4">
      <c r="A33" t="s">
        <v>501</v>
      </c>
      <c r="B33">
        <f>B32</f>
        <v>85</v>
      </c>
      <c r="C33">
        <v>100</v>
      </c>
      <c r="D33">
        <v>1.5</v>
      </c>
    </row>
    <row r="34" spans="1:6">
      <c r="A34" t="s">
        <v>501</v>
      </c>
      <c r="B34">
        <v>86</v>
      </c>
      <c r="C34">
        <v>1</v>
      </c>
      <c r="D34">
        <v>1</v>
      </c>
      <c r="F34" t="s">
        <v>539</v>
      </c>
    </row>
    <row r="35" spans="1:4">
      <c r="A35" t="s">
        <v>501</v>
      </c>
      <c r="B35">
        <f t="shared" ref="B35" si="5">B34</f>
        <v>86</v>
      </c>
      <c r="C35">
        <v>100</v>
      </c>
      <c r="D35">
        <v>1.25</v>
      </c>
    </row>
  </sheetData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J55"/>
  <sheetViews>
    <sheetView zoomScale="51" zoomScaleNormal="51" workbookViewId="0">
      <selection activeCell="AJ34" sqref="AJ34"/>
    </sheetView>
  </sheetViews>
  <sheetFormatPr defaultColWidth="9" defaultRowHeight="14.5"/>
  <cols>
    <col min="4" max="4" width="8.4" customWidth="1"/>
    <col min="5" max="5" width="7" customWidth="1"/>
    <col min="7" max="7" width="40.7272727272727" customWidth="1"/>
    <col min="18" max="18" width="11" customWidth="1"/>
    <col min="19" max="19" width="11.4" customWidth="1"/>
    <col min="20" max="20" width="14" customWidth="1"/>
    <col min="21" max="21" width="7" customWidth="1"/>
    <col min="24" max="24" width="12" customWidth="1"/>
    <col min="25" max="25" width="25.3636363636364" customWidth="1"/>
    <col min="26" max="26" width="23.7272727272727" customWidth="1"/>
    <col min="27" max="27" width="17.2727272727273" customWidth="1"/>
    <col min="28" max="28" width="7" customWidth="1"/>
    <col min="32" max="32" width="13.9090909090909" customWidth="1"/>
  </cols>
  <sheetData>
    <row r="1" spans="4:32">
      <c r="D1" s="11" t="s">
        <v>540</v>
      </c>
      <c r="E1" s="11" t="s">
        <v>541</v>
      </c>
      <c r="F1" s="11" t="s">
        <v>542</v>
      </c>
      <c r="R1" t="s">
        <v>543</v>
      </c>
      <c r="X1" t="s">
        <v>53</v>
      </c>
      <c r="AF1" t="s">
        <v>264</v>
      </c>
    </row>
    <row r="2" spans="1:34">
      <c r="A2" t="s">
        <v>544</v>
      </c>
      <c r="B2" t="str">
        <f>MID(A2,4,7)</f>
        <v>COA</v>
      </c>
      <c r="D2" s="12" t="s">
        <v>545</v>
      </c>
      <c r="E2" s="12">
        <f>N12</f>
        <v>55.99</v>
      </c>
      <c r="F2" s="12" t="s">
        <v>546</v>
      </c>
      <c r="G2" s="13" t="s">
        <v>547</v>
      </c>
      <c r="H2" s="13"/>
      <c r="I2" s="13"/>
      <c r="J2" s="13"/>
      <c r="K2" s="13"/>
      <c r="L2" s="13"/>
      <c r="M2" s="13"/>
      <c r="N2" s="13"/>
      <c r="R2" t="s">
        <v>73</v>
      </c>
      <c r="S2" t="s">
        <v>253</v>
      </c>
      <c r="T2" t="s">
        <v>502</v>
      </c>
      <c r="U2" t="s">
        <v>75</v>
      </c>
      <c r="X2" t="s">
        <v>73</v>
      </c>
      <c r="Y2" t="s">
        <v>5</v>
      </c>
      <c r="Z2" t="s">
        <v>253</v>
      </c>
      <c r="AA2" t="s">
        <v>502</v>
      </c>
      <c r="AB2" t="s">
        <v>75</v>
      </c>
      <c r="AF2" t="s">
        <v>74</v>
      </c>
      <c r="AG2" t="s">
        <v>548</v>
      </c>
      <c r="AH2" t="s">
        <v>253</v>
      </c>
    </row>
    <row r="3" spans="1:34">
      <c r="A3" t="s">
        <v>549</v>
      </c>
      <c r="B3" t="str">
        <f t="shared" ref="B3:B54" si="0">MID(A3,4,7)</f>
        <v>KER</v>
      </c>
      <c r="D3" s="12" t="s">
        <v>550</v>
      </c>
      <c r="E3" s="12">
        <f>E5</f>
        <v>98.43</v>
      </c>
      <c r="F3" s="12" t="s">
        <v>551</v>
      </c>
      <c r="G3" s="13"/>
      <c r="H3" s="13" t="s">
        <v>552</v>
      </c>
      <c r="I3" s="13"/>
      <c r="J3" s="13" t="s">
        <v>553</v>
      </c>
      <c r="K3" s="13"/>
      <c r="L3" s="13" t="s">
        <v>554</v>
      </c>
      <c r="M3" s="13" t="s">
        <v>553</v>
      </c>
      <c r="N3" s="13" t="s">
        <v>553</v>
      </c>
      <c r="R3" t="s">
        <v>555</v>
      </c>
      <c r="S3" t="str">
        <f>A2</f>
        <v>AGRCOA</v>
      </c>
      <c r="T3" t="str">
        <f t="shared" ref="T3:T34" si="1">LEFT(S3,3)&amp;"CO2N"&amp;VLOOKUP(MID(S3,4,7),$D$2:$F$27,3,FALSE)</f>
        <v>AGRCO2Nc</v>
      </c>
      <c r="U3">
        <f t="shared" ref="U3:U34" si="2">VLOOKUP(MID(S3,4,7),$D$2:$F$27,2,FALSE)</f>
        <v>98.43</v>
      </c>
      <c r="X3" t="s">
        <v>556</v>
      </c>
      <c r="Z3" s="4" t="s">
        <v>557</v>
      </c>
      <c r="AA3" t="s">
        <v>422</v>
      </c>
      <c r="AB3">
        <v>1</v>
      </c>
      <c r="AF3" t="s">
        <v>558</v>
      </c>
      <c r="AG3" t="s">
        <v>99</v>
      </c>
      <c r="AH3" t="s">
        <v>559</v>
      </c>
    </row>
    <row r="4" spans="1:21">
      <c r="A4" t="s">
        <v>560</v>
      </c>
      <c r="B4" t="str">
        <f t="shared" si="0"/>
        <v>LPG</v>
      </c>
      <c r="D4" s="12" t="s">
        <v>561</v>
      </c>
      <c r="E4" s="12">
        <f>E3</f>
        <v>98.43</v>
      </c>
      <c r="F4" s="12" t="str">
        <f>F3</f>
        <v>b</v>
      </c>
      <c r="G4" s="13" t="s">
        <v>562</v>
      </c>
      <c r="H4" s="13" t="s">
        <v>563</v>
      </c>
      <c r="I4" s="13"/>
      <c r="J4" s="13" t="s">
        <v>563</v>
      </c>
      <c r="K4" s="13"/>
      <c r="L4" s="13" t="s">
        <v>564</v>
      </c>
      <c r="M4" s="13" t="s">
        <v>564</v>
      </c>
      <c r="N4" s="13" t="s">
        <v>565</v>
      </c>
      <c r="R4" t="s">
        <v>555</v>
      </c>
      <c r="S4" t="str">
        <f t="shared" ref="S4:S54" si="3">A3</f>
        <v>AGRKER</v>
      </c>
      <c r="T4" t="str">
        <f t="shared" si="1"/>
        <v>AGRCO2No</v>
      </c>
      <c r="U4">
        <f t="shared" si="2"/>
        <v>76.28</v>
      </c>
    </row>
    <row r="5" spans="1:21">
      <c r="A5" t="s">
        <v>566</v>
      </c>
      <c r="B5" t="str">
        <f t="shared" si="0"/>
        <v>NGA</v>
      </c>
      <c r="D5" s="12" t="s">
        <v>567</v>
      </c>
      <c r="E5" s="12">
        <f>N30</f>
        <v>98.43</v>
      </c>
      <c r="F5" s="12" t="s">
        <v>546</v>
      </c>
      <c r="G5" s="13" t="s">
        <v>568</v>
      </c>
      <c r="H5" s="13"/>
      <c r="I5" s="13"/>
      <c r="J5" s="13"/>
      <c r="K5" s="13"/>
      <c r="L5" s="13"/>
      <c r="M5" s="13"/>
      <c r="N5" s="13"/>
      <c r="R5" t="s">
        <v>555</v>
      </c>
      <c r="S5" t="str">
        <f t="shared" si="3"/>
        <v>AGRLPG</v>
      </c>
      <c r="T5" t="str">
        <f t="shared" si="1"/>
        <v>AGRCO2No</v>
      </c>
      <c r="U5">
        <f t="shared" si="2"/>
        <v>67.53</v>
      </c>
    </row>
    <row r="6" spans="1:28">
      <c r="A6" t="s">
        <v>569</v>
      </c>
      <c r="B6" t="str">
        <f t="shared" si="0"/>
        <v>OIL</v>
      </c>
      <c r="D6" s="12" t="s">
        <v>570</v>
      </c>
      <c r="E6" s="12">
        <f>E5</f>
        <v>98.43</v>
      </c>
      <c r="F6" s="12" t="s">
        <v>546</v>
      </c>
      <c r="G6" s="13" t="s">
        <v>571</v>
      </c>
      <c r="H6" s="13">
        <v>12.7</v>
      </c>
      <c r="I6" s="13" t="s">
        <v>572</v>
      </c>
      <c r="J6" s="13">
        <v>5.76</v>
      </c>
      <c r="K6" s="13" t="s">
        <v>572</v>
      </c>
      <c r="L6" s="13">
        <v>139.05</v>
      </c>
      <c r="M6" s="13">
        <v>63.07</v>
      </c>
      <c r="N6" s="13">
        <v>66.54</v>
      </c>
      <c r="R6" t="s">
        <v>555</v>
      </c>
      <c r="S6" t="str">
        <f t="shared" si="3"/>
        <v>AGRNGA</v>
      </c>
      <c r="T6" t="str">
        <f t="shared" si="1"/>
        <v>AGRCO2Ng</v>
      </c>
      <c r="U6">
        <f t="shared" si="2"/>
        <v>55.99</v>
      </c>
      <c r="X6" s="15" t="s">
        <v>556</v>
      </c>
      <c r="Y6" s="15"/>
      <c r="Z6" s="15" t="s">
        <v>573</v>
      </c>
      <c r="AA6" s="15" t="s">
        <v>422</v>
      </c>
      <c r="AB6" s="16">
        <v>-0.001</v>
      </c>
    </row>
    <row r="7" spans="1:21">
      <c r="A7" t="s">
        <v>574</v>
      </c>
      <c r="B7" t="str">
        <f t="shared" si="0"/>
        <v>COA</v>
      </c>
      <c r="D7" s="12" t="s">
        <v>575</v>
      </c>
      <c r="E7" s="12">
        <f>N32</f>
        <v>103.08</v>
      </c>
      <c r="F7" s="12" t="s">
        <v>546</v>
      </c>
      <c r="G7" s="13" t="s">
        <v>576</v>
      </c>
      <c r="H7" s="13">
        <v>14.8</v>
      </c>
      <c r="I7" s="13" t="s">
        <v>572</v>
      </c>
      <c r="J7" s="13">
        <v>6.71</v>
      </c>
      <c r="K7" s="13" t="s">
        <v>572</v>
      </c>
      <c r="L7" s="13">
        <v>143.2</v>
      </c>
      <c r="M7" s="13">
        <v>64.95</v>
      </c>
      <c r="N7" s="13">
        <v>68.53</v>
      </c>
      <c r="R7" t="s">
        <v>555</v>
      </c>
      <c r="S7" t="str">
        <f t="shared" si="3"/>
        <v>AGROIL</v>
      </c>
      <c r="T7" t="str">
        <f t="shared" si="1"/>
        <v>AGRCO2No</v>
      </c>
      <c r="U7">
        <f t="shared" si="2"/>
        <v>83.12</v>
      </c>
    </row>
    <row r="8" spans="1:30">
      <c r="A8" t="s">
        <v>577</v>
      </c>
      <c r="B8" t="str">
        <f t="shared" si="0"/>
        <v>HFO</v>
      </c>
      <c r="D8" s="12" t="s">
        <v>578</v>
      </c>
      <c r="E8" s="12">
        <f>E2</f>
        <v>55.99</v>
      </c>
      <c r="F8" s="12" t="s">
        <v>546</v>
      </c>
      <c r="G8" s="13" t="s">
        <v>579</v>
      </c>
      <c r="H8" s="13">
        <v>13.7</v>
      </c>
      <c r="I8" s="13" t="s">
        <v>572</v>
      </c>
      <c r="J8" s="13">
        <v>6.21</v>
      </c>
      <c r="K8" s="13" t="s">
        <v>572</v>
      </c>
      <c r="L8" s="13">
        <v>141.12</v>
      </c>
      <c r="M8" s="13">
        <v>64.01</v>
      </c>
      <c r="N8" s="13">
        <v>67.53</v>
      </c>
      <c r="R8" t="s">
        <v>555</v>
      </c>
      <c r="S8" t="str">
        <f t="shared" si="3"/>
        <v>COMCOA</v>
      </c>
      <c r="T8" t="str">
        <f t="shared" si="1"/>
        <v>COMCO2Nc</v>
      </c>
      <c r="U8">
        <f t="shared" si="2"/>
        <v>98.43</v>
      </c>
      <c r="AD8" t="s">
        <v>580</v>
      </c>
    </row>
    <row r="9" spans="1:32">
      <c r="A9" t="s">
        <v>581</v>
      </c>
      <c r="B9" t="str">
        <f t="shared" si="0"/>
        <v>KER</v>
      </c>
      <c r="D9" s="12" t="s">
        <v>582</v>
      </c>
      <c r="E9" s="12">
        <f>N33</f>
        <v>120.4</v>
      </c>
      <c r="F9" s="12" t="s">
        <v>546</v>
      </c>
      <c r="G9" s="13" t="s">
        <v>583</v>
      </c>
      <c r="H9" s="13">
        <v>22.4</v>
      </c>
      <c r="I9" s="13" t="s">
        <v>572</v>
      </c>
      <c r="J9" s="13">
        <v>10.16</v>
      </c>
      <c r="K9" s="13" t="s">
        <v>572</v>
      </c>
      <c r="L9" s="13">
        <v>161.3</v>
      </c>
      <c r="M9" s="13">
        <v>73.16</v>
      </c>
      <c r="N9" s="13">
        <v>77.19</v>
      </c>
      <c r="R9" t="s">
        <v>555</v>
      </c>
      <c r="S9" t="str">
        <f t="shared" si="3"/>
        <v>COMHFO</v>
      </c>
      <c r="T9" t="str">
        <f t="shared" si="1"/>
        <v>COMCO2No</v>
      </c>
      <c r="U9">
        <f t="shared" si="2"/>
        <v>83.12</v>
      </c>
      <c r="X9" t="s">
        <v>53</v>
      </c>
      <c r="AF9" t="s">
        <v>264</v>
      </c>
    </row>
    <row r="10" spans="1:35">
      <c r="A10" t="s">
        <v>584</v>
      </c>
      <c r="B10" t="str">
        <f t="shared" si="0"/>
        <v>LPG</v>
      </c>
      <c r="D10" s="12" t="s">
        <v>585</v>
      </c>
      <c r="E10" s="12">
        <f>N9</f>
        <v>77.19</v>
      </c>
      <c r="F10" s="12" t="s">
        <v>586</v>
      </c>
      <c r="G10" s="13" t="s">
        <v>587</v>
      </c>
      <c r="H10" s="13">
        <v>21.5</v>
      </c>
      <c r="I10" s="13" t="s">
        <v>572</v>
      </c>
      <c r="J10" s="13">
        <v>9.75</v>
      </c>
      <c r="K10" s="13" t="s">
        <v>572</v>
      </c>
      <c r="L10" s="13">
        <v>159.4</v>
      </c>
      <c r="M10" s="13">
        <v>72.3</v>
      </c>
      <c r="N10" s="13">
        <v>76.28</v>
      </c>
      <c r="R10" t="s">
        <v>555</v>
      </c>
      <c r="S10" t="str">
        <f t="shared" si="3"/>
        <v>COMKER</v>
      </c>
      <c r="T10" t="str">
        <f t="shared" si="1"/>
        <v>COMCO2No</v>
      </c>
      <c r="U10">
        <f t="shared" si="2"/>
        <v>76.28</v>
      </c>
      <c r="X10" t="s">
        <v>73</v>
      </c>
      <c r="Y10" t="s">
        <v>77</v>
      </c>
      <c r="Z10" t="s">
        <v>253</v>
      </c>
      <c r="AA10" t="s">
        <v>502</v>
      </c>
      <c r="AB10" t="s">
        <v>75</v>
      </c>
      <c r="AF10" t="s">
        <v>77</v>
      </c>
      <c r="AG10" t="s">
        <v>548</v>
      </c>
      <c r="AH10" t="s">
        <v>253</v>
      </c>
      <c r="AI10" t="s">
        <v>76</v>
      </c>
    </row>
    <row r="11" spans="1:35">
      <c r="A11" t="s">
        <v>270</v>
      </c>
      <c r="B11" t="str">
        <f t="shared" si="0"/>
        <v>NGA</v>
      </c>
      <c r="D11" s="12" t="s">
        <v>588</v>
      </c>
      <c r="E11" s="12">
        <f>N6</f>
        <v>66.54</v>
      </c>
      <c r="F11" s="12" t="s">
        <v>589</v>
      </c>
      <c r="G11" s="13" t="s">
        <v>590</v>
      </c>
      <c r="H11" s="14">
        <v>4631.5</v>
      </c>
      <c r="I11" s="13" t="s">
        <v>591</v>
      </c>
      <c r="J11" s="14">
        <v>2100.82</v>
      </c>
      <c r="K11" s="13" t="s">
        <v>591</v>
      </c>
      <c r="L11" s="13">
        <v>210.2</v>
      </c>
      <c r="M11" s="13">
        <v>95.35</v>
      </c>
      <c r="N11" s="13">
        <v>100.59</v>
      </c>
      <c r="R11" t="s">
        <v>555</v>
      </c>
      <c r="S11" t="str">
        <f t="shared" si="3"/>
        <v>COMLPG</v>
      </c>
      <c r="T11" t="str">
        <f t="shared" si="1"/>
        <v>COMCO2No</v>
      </c>
      <c r="U11">
        <f t="shared" si="2"/>
        <v>67.53</v>
      </c>
      <c r="X11" t="s">
        <v>592</v>
      </c>
      <c r="Y11" t="s">
        <v>593</v>
      </c>
      <c r="Z11" t="str">
        <f>"INDCO2N"&amp;VLOOKUP(MID(AA11,4,7),$D$2:$F$27,3,FALSE)</f>
        <v>INDCO2No</v>
      </c>
      <c r="AA11" t="s">
        <v>261</v>
      </c>
      <c r="AB11">
        <f>VLOOKUP(MID(AA11,4,7),$D$2:$F$27,2,FALSE)*AD11</f>
        <v>15.362</v>
      </c>
      <c r="AD11" s="17">
        <v>0.2</v>
      </c>
      <c r="AF11" t="str">
        <f>Y11</f>
        <v>ICH_feedstock</v>
      </c>
      <c r="AG11" t="s">
        <v>146</v>
      </c>
      <c r="AH11" t="str">
        <f>Z11</f>
        <v>INDCO2No</v>
      </c>
      <c r="AI11" t="str">
        <f>AA11</f>
        <v>OILNAP</v>
      </c>
    </row>
    <row r="12" spans="1:35">
      <c r="A12" t="s">
        <v>594</v>
      </c>
      <c r="B12" t="str">
        <f t="shared" si="0"/>
        <v>OIL</v>
      </c>
      <c r="D12" s="12" t="s">
        <v>595</v>
      </c>
      <c r="E12" s="12">
        <f>N12</f>
        <v>55.99</v>
      </c>
      <c r="F12" s="12" t="s">
        <v>589</v>
      </c>
      <c r="G12" s="13" t="s">
        <v>596</v>
      </c>
      <c r="H12" s="13">
        <v>117.1</v>
      </c>
      <c r="I12" s="13" t="s">
        <v>597</v>
      </c>
      <c r="J12" s="13">
        <v>53.12</v>
      </c>
      <c r="K12" s="13" t="s">
        <v>597</v>
      </c>
      <c r="L12" s="13">
        <v>117</v>
      </c>
      <c r="M12" s="13">
        <v>53.07</v>
      </c>
      <c r="N12" s="13">
        <v>55.99</v>
      </c>
      <c r="R12" t="s">
        <v>555</v>
      </c>
      <c r="S12" t="str">
        <f t="shared" si="3"/>
        <v>COMNGA</v>
      </c>
      <c r="T12" t="str">
        <f t="shared" si="1"/>
        <v>COMCO2Ng</v>
      </c>
      <c r="U12">
        <f t="shared" si="2"/>
        <v>55.99</v>
      </c>
      <c r="X12" t="s">
        <v>592</v>
      </c>
      <c r="Y12" t="s">
        <v>593</v>
      </c>
      <c r="Z12" t="str">
        <f>"INDCO2N"&amp;VLOOKUP(MID(AA12,4,7),$D$2:$F$27,3,FALSE)</f>
        <v>INDCO2No</v>
      </c>
      <c r="AA12" t="s">
        <v>88</v>
      </c>
      <c r="AB12">
        <f>VLOOKUP(MID(AA12,4,7),$D$2:$F$27,2,FALSE)*AD12</f>
        <v>13.506</v>
      </c>
      <c r="AD12" s="17">
        <v>0.2</v>
      </c>
      <c r="AF12" t="str">
        <f t="shared" ref="AF12:AF14" si="4">Y12</f>
        <v>ICH_feedstock</v>
      </c>
      <c r="AG12" t="s">
        <v>146</v>
      </c>
      <c r="AH12" t="str">
        <f t="shared" ref="AH12:AH14" si="5">Z12</f>
        <v>INDCO2No</v>
      </c>
      <c r="AI12" t="str">
        <f t="shared" ref="AI12:AI14" si="6">AA12</f>
        <v>OILLPG</v>
      </c>
    </row>
    <row r="13" spans="1:35">
      <c r="A13" t="s">
        <v>461</v>
      </c>
      <c r="B13" t="str">
        <f t="shared" si="0"/>
        <v>COA</v>
      </c>
      <c r="D13" s="12" t="s">
        <v>598</v>
      </c>
      <c r="E13" s="12">
        <f>N13</f>
        <v>75.22</v>
      </c>
      <c r="F13" s="12" t="s">
        <v>586</v>
      </c>
      <c r="G13" s="13" t="s">
        <v>599</v>
      </c>
      <c r="H13" s="13">
        <v>19.6</v>
      </c>
      <c r="I13" s="13" t="s">
        <v>572</v>
      </c>
      <c r="J13" s="13">
        <v>8.89</v>
      </c>
      <c r="K13" s="13" t="s">
        <v>572</v>
      </c>
      <c r="L13" s="13">
        <v>157.2</v>
      </c>
      <c r="M13" s="13">
        <v>71.3</v>
      </c>
      <c r="N13" s="13">
        <v>75.22</v>
      </c>
      <c r="R13" t="s">
        <v>555</v>
      </c>
      <c r="S13" t="str">
        <f t="shared" si="3"/>
        <v>COMOIL</v>
      </c>
      <c r="T13" t="str">
        <f t="shared" si="1"/>
        <v>COMCO2No</v>
      </c>
      <c r="U13">
        <f t="shared" si="2"/>
        <v>83.12</v>
      </c>
      <c r="X13" t="s">
        <v>592</v>
      </c>
      <c r="Y13" t="s">
        <v>593</v>
      </c>
      <c r="Z13" t="str">
        <f>"INDCO2N"&amp;VLOOKUP(MID(AA13,1,3),$D$2:$F$27,3,FALSE)</f>
        <v>INDCO2Ng</v>
      </c>
      <c r="AA13" t="s">
        <v>102</v>
      </c>
      <c r="AB13">
        <f>VLOOKUP(MID(AA13,4,7),$D$2:$F$27,2,FALSE)*AD13</f>
        <v>4.4792</v>
      </c>
      <c r="AD13" s="17">
        <v>0.08</v>
      </c>
      <c r="AF13" t="str">
        <f t="shared" si="4"/>
        <v>ICH_feedstock</v>
      </c>
      <c r="AG13" t="s">
        <v>146</v>
      </c>
      <c r="AH13" t="str">
        <f t="shared" si="5"/>
        <v>INDCO2Ng</v>
      </c>
      <c r="AI13" t="str">
        <f t="shared" si="6"/>
        <v>GASNGA</v>
      </c>
    </row>
    <row r="14" spans="1:35">
      <c r="A14" t="s">
        <v>600</v>
      </c>
      <c r="B14" t="str">
        <f t="shared" si="0"/>
        <v>CoaG</v>
      </c>
      <c r="D14" s="12" t="s">
        <v>601</v>
      </c>
      <c r="E14" s="12">
        <f>N26</f>
        <v>76.81</v>
      </c>
      <c r="F14" s="12" t="s">
        <v>586</v>
      </c>
      <c r="G14" s="13" t="s">
        <v>602</v>
      </c>
      <c r="H14" s="13">
        <v>26</v>
      </c>
      <c r="I14" s="13" t="s">
        <v>572</v>
      </c>
      <c r="J14" s="13">
        <v>11.79</v>
      </c>
      <c r="K14" s="13" t="s">
        <v>572</v>
      </c>
      <c r="L14" s="13">
        <v>173.7</v>
      </c>
      <c r="M14" s="13">
        <v>78.79</v>
      </c>
      <c r="N14" s="13">
        <v>83.12</v>
      </c>
      <c r="R14" t="s">
        <v>555</v>
      </c>
      <c r="S14" t="str">
        <f t="shared" si="3"/>
        <v>ELCCOA</v>
      </c>
      <c r="T14" t="str">
        <f t="shared" si="1"/>
        <v>ELCCO2Nc</v>
      </c>
      <c r="U14">
        <f t="shared" si="2"/>
        <v>98.43</v>
      </c>
      <c r="X14" t="s">
        <v>592</v>
      </c>
      <c r="Y14" t="s">
        <v>593</v>
      </c>
      <c r="Z14" t="str">
        <f>"INDCO2N"&amp;VLOOKUP(MID(AA14,1,3),$D$2:$F$27,3,FALSE)</f>
        <v>INDCO2Ng</v>
      </c>
      <c r="AA14" t="s">
        <v>603</v>
      </c>
      <c r="AB14">
        <f>VLOOKUP(MID(AA14,4,7),$D$2:$F$27,2,FALSE)*AD14</f>
        <v>5.3232</v>
      </c>
      <c r="AD14" s="17">
        <v>0.08</v>
      </c>
      <c r="AF14" t="str">
        <f t="shared" si="4"/>
        <v>ICH_feedstock</v>
      </c>
      <c r="AG14" t="s">
        <v>146</v>
      </c>
      <c r="AH14" t="str">
        <f t="shared" si="5"/>
        <v>INDCO2Ng</v>
      </c>
      <c r="AI14" t="str">
        <f t="shared" si="6"/>
        <v>GASETH</v>
      </c>
    </row>
    <row r="15" spans="1:21">
      <c r="A15" t="s">
        <v>460</v>
      </c>
      <c r="B15" t="str">
        <f t="shared" si="0"/>
        <v>COB</v>
      </c>
      <c r="D15" s="12" t="s">
        <v>604</v>
      </c>
      <c r="E15" s="12">
        <f>N14</f>
        <v>83.12</v>
      </c>
      <c r="F15" s="12" t="s">
        <v>586</v>
      </c>
      <c r="G15" s="13" t="s">
        <v>605</v>
      </c>
      <c r="H15" s="13"/>
      <c r="I15" s="13"/>
      <c r="J15" s="13"/>
      <c r="K15" s="13"/>
      <c r="L15" s="13"/>
      <c r="M15" s="13"/>
      <c r="N15" s="13">
        <v>0</v>
      </c>
      <c r="R15" t="s">
        <v>555</v>
      </c>
      <c r="S15" t="str">
        <f t="shared" si="3"/>
        <v>ELCCoaG</v>
      </c>
      <c r="T15" t="str">
        <f t="shared" si="1"/>
        <v>ELCCO2Nc</v>
      </c>
      <c r="U15">
        <f t="shared" si="2"/>
        <v>98.43</v>
      </c>
    </row>
    <row r="16" spans="1:21">
      <c r="A16" t="s">
        <v>606</v>
      </c>
      <c r="B16" t="str">
        <f t="shared" si="0"/>
        <v>GAS</v>
      </c>
      <c r="D16" s="12" t="s">
        <v>607</v>
      </c>
      <c r="E16" s="12">
        <f>N16</f>
        <v>74.8</v>
      </c>
      <c r="F16" s="12" t="s">
        <v>586</v>
      </c>
      <c r="G16" s="13" t="s">
        <v>608</v>
      </c>
      <c r="H16" s="13">
        <v>21.1</v>
      </c>
      <c r="I16" s="13" t="s">
        <v>572</v>
      </c>
      <c r="J16" s="13">
        <v>9.57</v>
      </c>
      <c r="K16" s="13" t="s">
        <v>572</v>
      </c>
      <c r="L16" s="13">
        <v>156.3</v>
      </c>
      <c r="M16" s="13">
        <v>70.9</v>
      </c>
      <c r="N16" s="13">
        <v>74.8</v>
      </c>
      <c r="R16" t="s">
        <v>555</v>
      </c>
      <c r="S16" t="str">
        <f t="shared" si="3"/>
        <v>ELCCOB</v>
      </c>
      <c r="T16" t="str">
        <f t="shared" si="1"/>
        <v>ELCCO2Nc</v>
      </c>
      <c r="U16">
        <f t="shared" si="2"/>
        <v>103.08</v>
      </c>
    </row>
    <row r="17" spans="1:21">
      <c r="A17" t="s">
        <v>282</v>
      </c>
      <c r="B17" t="str">
        <f t="shared" si="0"/>
        <v>NGA</v>
      </c>
      <c r="D17" s="12" t="s">
        <v>609</v>
      </c>
      <c r="E17" s="12">
        <f>N10</f>
        <v>76.28</v>
      </c>
      <c r="F17" s="12" t="s">
        <v>586</v>
      </c>
      <c r="G17" s="13" t="s">
        <v>610</v>
      </c>
      <c r="H17" s="13">
        <v>18.4</v>
      </c>
      <c r="I17" s="13" t="s">
        <v>572</v>
      </c>
      <c r="J17" s="13">
        <v>8.35</v>
      </c>
      <c r="K17" s="13" t="s">
        <v>572</v>
      </c>
      <c r="L17" s="13">
        <v>152.6</v>
      </c>
      <c r="M17" s="13">
        <v>69.2</v>
      </c>
      <c r="N17" s="13">
        <v>73.01</v>
      </c>
      <c r="R17" t="s">
        <v>555</v>
      </c>
      <c r="S17" t="str">
        <f t="shared" si="3"/>
        <v>ELCGAS</v>
      </c>
      <c r="T17" t="str">
        <f t="shared" si="1"/>
        <v>ELCCO2Ng</v>
      </c>
      <c r="U17">
        <f t="shared" si="2"/>
        <v>55.99</v>
      </c>
    </row>
    <row r="18" spans="1:24">
      <c r="A18" t="s">
        <v>462</v>
      </c>
      <c r="B18" t="str">
        <f t="shared" si="0"/>
        <v>OIL</v>
      </c>
      <c r="D18" s="12" t="s">
        <v>611</v>
      </c>
      <c r="E18" s="12">
        <f>N8</f>
        <v>67.53</v>
      </c>
      <c r="F18" s="12" t="s">
        <v>586</v>
      </c>
      <c r="G18" s="13" t="s">
        <v>612</v>
      </c>
      <c r="H18" s="13"/>
      <c r="I18" s="13"/>
      <c r="J18" s="13"/>
      <c r="K18" s="13"/>
      <c r="L18" s="13"/>
      <c r="M18" s="13"/>
      <c r="N18" s="13">
        <v>0</v>
      </c>
      <c r="R18" t="s">
        <v>555</v>
      </c>
      <c r="S18" t="str">
        <f t="shared" si="3"/>
        <v>ELCNGA</v>
      </c>
      <c r="T18" t="str">
        <f t="shared" si="1"/>
        <v>ELCCO2Ng</v>
      </c>
      <c r="U18">
        <f t="shared" si="2"/>
        <v>55.99</v>
      </c>
      <c r="X18" t="s">
        <v>53</v>
      </c>
    </row>
    <row r="19" spans="1:29">
      <c r="A19" t="s">
        <v>463</v>
      </c>
      <c r="B19" t="str">
        <f t="shared" si="0"/>
        <v>OIL_CRD</v>
      </c>
      <c r="D19" s="12" t="s">
        <v>613</v>
      </c>
      <c r="E19" s="12">
        <f>N12</f>
        <v>55.99</v>
      </c>
      <c r="F19" s="12" t="s">
        <v>589</v>
      </c>
      <c r="G19" s="13" t="s">
        <v>614</v>
      </c>
      <c r="H19" s="13">
        <v>120.7</v>
      </c>
      <c r="I19" s="13" t="s">
        <v>597</v>
      </c>
      <c r="J19" s="13">
        <v>54.75</v>
      </c>
      <c r="K19" s="13" t="s">
        <v>597</v>
      </c>
      <c r="L19" s="13">
        <v>120.6</v>
      </c>
      <c r="M19" s="13">
        <v>54.7</v>
      </c>
      <c r="N19" s="13">
        <v>57.71</v>
      </c>
      <c r="R19" t="s">
        <v>555</v>
      </c>
      <c r="S19" t="str">
        <f t="shared" si="3"/>
        <v>ELCOIL</v>
      </c>
      <c r="T19" t="str">
        <f t="shared" si="1"/>
        <v>ELCCO2No</v>
      </c>
      <c r="U19">
        <f t="shared" si="2"/>
        <v>83.12</v>
      </c>
      <c r="X19" t="s">
        <v>73</v>
      </c>
      <c r="Y19" t="s">
        <v>76</v>
      </c>
      <c r="Z19" t="s">
        <v>253</v>
      </c>
      <c r="AA19" t="s">
        <v>502</v>
      </c>
      <c r="AB19" t="s">
        <v>75</v>
      </c>
      <c r="AC19" t="s">
        <v>77</v>
      </c>
    </row>
    <row r="20" spans="1:29">
      <c r="A20" t="s">
        <v>464</v>
      </c>
      <c r="B20" t="str">
        <f t="shared" si="0"/>
        <v>OIL_DST</v>
      </c>
      <c r="D20" s="12" t="s">
        <v>615</v>
      </c>
      <c r="E20" s="12">
        <f>N14</f>
        <v>83.12</v>
      </c>
      <c r="F20" s="12" t="s">
        <v>586</v>
      </c>
      <c r="G20" s="13" t="s">
        <v>616</v>
      </c>
      <c r="H20" s="13">
        <v>32.4</v>
      </c>
      <c r="I20" s="13" t="s">
        <v>572</v>
      </c>
      <c r="J20" s="13">
        <v>14.7</v>
      </c>
      <c r="K20" s="13" t="s">
        <v>572</v>
      </c>
      <c r="L20" s="13">
        <v>225.1</v>
      </c>
      <c r="M20" s="13">
        <v>102.1</v>
      </c>
      <c r="N20" s="13">
        <v>107.72</v>
      </c>
      <c r="R20" t="s">
        <v>555</v>
      </c>
      <c r="S20" t="str">
        <f t="shared" si="3"/>
        <v>ELCOIL_CRD</v>
      </c>
      <c r="T20" t="str">
        <f t="shared" si="1"/>
        <v>ELCCO2No</v>
      </c>
      <c r="U20">
        <f t="shared" si="2"/>
        <v>83.12</v>
      </c>
      <c r="X20" t="s">
        <v>592</v>
      </c>
      <c r="Y20" t="s">
        <v>617</v>
      </c>
      <c r="Z20" t="s">
        <v>618</v>
      </c>
      <c r="AA20" t="s">
        <v>617</v>
      </c>
      <c r="AB20">
        <f>VLOOKUP(MID(AA20,1,3),$D$2:$F$27,2,FALSE)</f>
        <v>98.43</v>
      </c>
      <c r="AC20" t="s">
        <v>127</v>
      </c>
    </row>
    <row r="21" spans="1:29">
      <c r="A21" t="s">
        <v>619</v>
      </c>
      <c r="B21" t="str">
        <f t="shared" si="0"/>
        <v>WAS</v>
      </c>
      <c r="D21" s="12" t="s">
        <v>620</v>
      </c>
      <c r="E21" s="12">
        <f>N14</f>
        <v>83.12</v>
      </c>
      <c r="F21" s="12" t="s">
        <v>586</v>
      </c>
      <c r="G21" s="13" t="s">
        <v>621</v>
      </c>
      <c r="H21" s="13">
        <v>22.09</v>
      </c>
      <c r="I21" s="13" t="s">
        <v>572</v>
      </c>
      <c r="J21" s="13">
        <v>10.02</v>
      </c>
      <c r="K21" s="13" t="s">
        <v>572</v>
      </c>
      <c r="L21" s="13">
        <v>160.1</v>
      </c>
      <c r="M21" s="13">
        <v>72.62</v>
      </c>
      <c r="N21" s="13">
        <v>76.61</v>
      </c>
      <c r="R21" t="s">
        <v>555</v>
      </c>
      <c r="S21" t="str">
        <f t="shared" si="3"/>
        <v>ELCOIL_DST</v>
      </c>
      <c r="T21" t="str">
        <f t="shared" si="1"/>
        <v>ELCCO2No</v>
      </c>
      <c r="U21">
        <f t="shared" si="2"/>
        <v>77.19</v>
      </c>
      <c r="X21" t="s">
        <v>592</v>
      </c>
      <c r="Y21" t="s">
        <v>622</v>
      </c>
      <c r="Z21" t="s">
        <v>623</v>
      </c>
      <c r="AA21" t="s">
        <v>622</v>
      </c>
      <c r="AB21">
        <f>VLOOKUP(MID(AA21,1,3),$D$2:$F$27,2,FALSE)</f>
        <v>98.43</v>
      </c>
      <c r="AC21" t="s">
        <v>127</v>
      </c>
    </row>
    <row r="22" spans="1:29">
      <c r="A22" t="s">
        <v>624</v>
      </c>
      <c r="B22" t="str">
        <f t="shared" si="0"/>
        <v>BFG</v>
      </c>
      <c r="D22" s="12" t="s">
        <v>625</v>
      </c>
      <c r="E22" s="12">
        <f>E10</f>
        <v>77.19</v>
      </c>
      <c r="F22" s="12" t="s">
        <v>586</v>
      </c>
      <c r="G22" s="13" t="s">
        <v>626</v>
      </c>
      <c r="H22" s="13"/>
      <c r="I22" s="13"/>
      <c r="J22" s="13"/>
      <c r="K22" s="13"/>
      <c r="L22" s="13"/>
      <c r="M22" s="13"/>
      <c r="N22" s="13">
        <v>0</v>
      </c>
      <c r="R22" t="s">
        <v>555</v>
      </c>
      <c r="S22" t="str">
        <f t="shared" si="3"/>
        <v>ELCWAS</v>
      </c>
      <c r="T22" t="str">
        <f t="shared" si="1"/>
        <v>ELCCO2Nw</v>
      </c>
      <c r="U22">
        <f t="shared" si="2"/>
        <v>43.98</v>
      </c>
      <c r="X22" t="s">
        <v>592</v>
      </c>
      <c r="Y22" t="s">
        <v>102</v>
      </c>
      <c r="Z22" t="s">
        <v>627</v>
      </c>
      <c r="AA22" t="s">
        <v>102</v>
      </c>
      <c r="AB22">
        <f>VLOOKUP(MID(AA22,1,3),$D$2:$F$27,2,FALSE)</f>
        <v>55.99</v>
      </c>
      <c r="AC22" t="s">
        <v>127</v>
      </c>
    </row>
    <row r="23" spans="1:29">
      <c r="A23" t="s">
        <v>465</v>
      </c>
      <c r="B23" t="str">
        <f t="shared" si="0"/>
        <v>BSL</v>
      </c>
      <c r="D23" s="12" t="s">
        <v>628</v>
      </c>
      <c r="E23" s="12">
        <f>N33</f>
        <v>120.4</v>
      </c>
      <c r="F23" s="12" t="s">
        <v>546</v>
      </c>
      <c r="G23" s="13" t="s">
        <v>629</v>
      </c>
      <c r="H23" s="13">
        <v>26.34</v>
      </c>
      <c r="I23" s="13" t="s">
        <v>572</v>
      </c>
      <c r="J23" s="13">
        <v>11.95</v>
      </c>
      <c r="K23" s="13" t="s">
        <v>572</v>
      </c>
      <c r="L23" s="13">
        <v>166.7</v>
      </c>
      <c r="M23" s="13">
        <v>75.61</v>
      </c>
      <c r="N23" s="13">
        <v>79.77</v>
      </c>
      <c r="R23" t="s">
        <v>555</v>
      </c>
      <c r="S23" t="str">
        <f t="shared" si="3"/>
        <v>INDBFG</v>
      </c>
      <c r="T23" t="str">
        <f t="shared" si="1"/>
        <v>INDCO2Nc</v>
      </c>
      <c r="U23">
        <f t="shared" si="2"/>
        <v>55.99</v>
      </c>
      <c r="X23" s="4" t="s">
        <v>630</v>
      </c>
      <c r="Y23" t="s">
        <v>631</v>
      </c>
      <c r="Z23" t="s">
        <v>632</v>
      </c>
      <c r="AA23" t="s">
        <v>631</v>
      </c>
      <c r="AB23">
        <v>1</v>
      </c>
      <c r="AC23" t="s">
        <v>633</v>
      </c>
    </row>
    <row r="24" spans="1:21">
      <c r="A24" t="s">
        <v>634</v>
      </c>
      <c r="B24" t="str">
        <f t="shared" si="0"/>
        <v>COA</v>
      </c>
      <c r="D24" s="12" t="s">
        <v>635</v>
      </c>
      <c r="E24" s="12">
        <f>N20</f>
        <v>107.72</v>
      </c>
      <c r="F24" s="12" t="s">
        <v>586</v>
      </c>
      <c r="G24" s="13" t="s">
        <v>636</v>
      </c>
      <c r="H24" s="13">
        <v>23.62</v>
      </c>
      <c r="I24" s="13" t="s">
        <v>572</v>
      </c>
      <c r="J24" s="13">
        <v>10.72</v>
      </c>
      <c r="K24" s="13" t="s">
        <v>572</v>
      </c>
      <c r="L24" s="13">
        <v>163.6</v>
      </c>
      <c r="M24" s="13">
        <v>74.21</v>
      </c>
      <c r="N24" s="13">
        <v>78.29</v>
      </c>
      <c r="R24" t="s">
        <v>555</v>
      </c>
      <c r="S24" t="str">
        <f t="shared" si="3"/>
        <v>ELCBSL</v>
      </c>
      <c r="T24" t="str">
        <f t="shared" si="1"/>
        <v>ELCCO2Nb</v>
      </c>
      <c r="U24">
        <f t="shared" si="2"/>
        <v>98.43</v>
      </c>
    </row>
    <row r="25" spans="1:21">
      <c r="A25" t="s">
        <v>637</v>
      </c>
      <c r="B25" t="str">
        <f t="shared" si="0"/>
        <v>COG</v>
      </c>
      <c r="D25" s="12" t="s">
        <v>638</v>
      </c>
      <c r="E25" s="12">
        <f>E2</f>
        <v>55.99</v>
      </c>
      <c r="F25" s="12" t="s">
        <v>586</v>
      </c>
      <c r="G25" s="13" t="s">
        <v>639</v>
      </c>
      <c r="H25" s="13">
        <v>24.74</v>
      </c>
      <c r="I25" s="13" t="s">
        <v>572</v>
      </c>
      <c r="J25" s="13">
        <v>11.22</v>
      </c>
      <c r="K25" s="13" t="s">
        <v>572</v>
      </c>
      <c r="L25" s="13">
        <v>156.6</v>
      </c>
      <c r="M25" s="13">
        <v>71.03</v>
      </c>
      <c r="N25" s="13">
        <v>74.94</v>
      </c>
      <c r="R25" t="s">
        <v>555</v>
      </c>
      <c r="S25" t="str">
        <f t="shared" si="3"/>
        <v>INDCOA</v>
      </c>
      <c r="T25" t="str">
        <f t="shared" si="1"/>
        <v>INDCO2Nc</v>
      </c>
      <c r="U25">
        <f t="shared" si="2"/>
        <v>98.43</v>
      </c>
    </row>
    <row r="26" spans="1:21">
      <c r="A26" t="s">
        <v>640</v>
      </c>
      <c r="B26" t="str">
        <f t="shared" si="0"/>
        <v>COK</v>
      </c>
      <c r="D26" s="12" t="s">
        <v>641</v>
      </c>
      <c r="E26" s="12">
        <f>N9</f>
        <v>77.19</v>
      </c>
      <c r="F26" s="12" t="s">
        <v>586</v>
      </c>
      <c r="G26" s="13" t="s">
        <v>642</v>
      </c>
      <c r="H26" s="13">
        <v>20.05</v>
      </c>
      <c r="I26" s="13" t="s">
        <v>572</v>
      </c>
      <c r="J26" s="13">
        <v>9.1</v>
      </c>
      <c r="K26" s="13" t="s">
        <v>572</v>
      </c>
      <c r="L26" s="13">
        <v>160.5</v>
      </c>
      <c r="M26" s="13">
        <v>72.8</v>
      </c>
      <c r="N26" s="13">
        <v>76.81</v>
      </c>
      <c r="R26" t="s">
        <v>555</v>
      </c>
      <c r="S26" t="str">
        <f t="shared" si="3"/>
        <v>INDCOG</v>
      </c>
      <c r="T26" t="str">
        <f t="shared" si="1"/>
        <v>INDCO2Nc</v>
      </c>
      <c r="U26">
        <f t="shared" si="2"/>
        <v>55.99</v>
      </c>
    </row>
    <row r="27" spans="1:24">
      <c r="A27" t="s">
        <v>643</v>
      </c>
      <c r="B27" t="str">
        <f t="shared" si="0"/>
        <v>HFO</v>
      </c>
      <c r="D27" s="12" t="s">
        <v>644</v>
      </c>
      <c r="E27" s="12">
        <f>N36</f>
        <v>43.98</v>
      </c>
      <c r="F27" s="12" t="s">
        <v>645</v>
      </c>
      <c r="G27" s="13" t="s">
        <v>646</v>
      </c>
      <c r="H27" s="13">
        <v>21.11</v>
      </c>
      <c r="I27" s="13" t="s">
        <v>572</v>
      </c>
      <c r="J27" s="13">
        <v>9.57</v>
      </c>
      <c r="K27" s="13" t="s">
        <v>572</v>
      </c>
      <c r="L27" s="13">
        <v>160.1</v>
      </c>
      <c r="M27" s="13">
        <v>72.62</v>
      </c>
      <c r="N27" s="13">
        <v>76.61</v>
      </c>
      <c r="R27" t="s">
        <v>555</v>
      </c>
      <c r="S27" t="str">
        <f t="shared" si="3"/>
        <v>INDCOK</v>
      </c>
      <c r="T27" t="str">
        <f t="shared" si="1"/>
        <v>INDCO2Nc</v>
      </c>
      <c r="U27">
        <f t="shared" si="2"/>
        <v>120.4</v>
      </c>
      <c r="X27" t="s">
        <v>53</v>
      </c>
    </row>
    <row r="28" spans="1:27">
      <c r="A28" t="s">
        <v>647</v>
      </c>
      <c r="B28" t="str">
        <f t="shared" si="0"/>
        <v>LPG</v>
      </c>
      <c r="G28" s="13" t="s">
        <v>648</v>
      </c>
      <c r="H28" s="13"/>
      <c r="I28" s="13"/>
      <c r="J28" s="13"/>
      <c r="K28" s="13"/>
      <c r="L28" s="13"/>
      <c r="M28" s="13"/>
      <c r="N28" s="13"/>
      <c r="R28" t="s">
        <v>555</v>
      </c>
      <c r="S28" t="str">
        <f t="shared" si="3"/>
        <v>INDHFO</v>
      </c>
      <c r="T28" t="str">
        <f t="shared" si="1"/>
        <v>INDCO2No</v>
      </c>
      <c r="U28">
        <f t="shared" si="2"/>
        <v>83.12</v>
      </c>
      <c r="X28" t="s">
        <v>73</v>
      </c>
      <c r="Y28" t="s">
        <v>253</v>
      </c>
      <c r="Z28" t="s">
        <v>502</v>
      </c>
      <c r="AA28" t="s">
        <v>75</v>
      </c>
    </row>
    <row r="29" spans="1:27">
      <c r="A29" t="s">
        <v>106</v>
      </c>
      <c r="B29" t="str">
        <f t="shared" si="0"/>
        <v>NGA</v>
      </c>
      <c r="G29" s="13" t="s">
        <v>649</v>
      </c>
      <c r="H29" s="14">
        <v>5685</v>
      </c>
      <c r="I29" s="13" t="s">
        <v>591</v>
      </c>
      <c r="J29" s="14">
        <v>2578.68</v>
      </c>
      <c r="K29" s="13" t="s">
        <v>591</v>
      </c>
      <c r="L29" s="13">
        <v>228.6</v>
      </c>
      <c r="M29" s="13">
        <v>103.7</v>
      </c>
      <c r="N29" s="13">
        <v>109.4</v>
      </c>
      <c r="R29" t="s">
        <v>555</v>
      </c>
      <c r="S29" t="str">
        <f t="shared" si="3"/>
        <v>INDLPG</v>
      </c>
      <c r="T29" t="str">
        <f t="shared" si="1"/>
        <v>INDCO2No</v>
      </c>
      <c r="U29">
        <f t="shared" si="2"/>
        <v>67.53</v>
      </c>
      <c r="X29" t="s">
        <v>556</v>
      </c>
      <c r="Y29" t="s">
        <v>650</v>
      </c>
      <c r="Z29" t="s">
        <v>651</v>
      </c>
      <c r="AA29">
        <v>0.001</v>
      </c>
    </row>
    <row r="30" spans="1:36">
      <c r="A30" t="s">
        <v>395</v>
      </c>
      <c r="B30" t="str">
        <f t="shared" si="0"/>
        <v>OIL</v>
      </c>
      <c r="G30" s="13" t="s">
        <v>652</v>
      </c>
      <c r="H30" s="14">
        <v>4931.3</v>
      </c>
      <c r="I30" s="13" t="s">
        <v>591</v>
      </c>
      <c r="J30" s="14">
        <v>2236.8</v>
      </c>
      <c r="K30" s="13" t="s">
        <v>591</v>
      </c>
      <c r="L30" s="13">
        <v>205.7</v>
      </c>
      <c r="M30" s="13">
        <v>93.3</v>
      </c>
      <c r="N30" s="13">
        <v>98.43</v>
      </c>
      <c r="R30" t="s">
        <v>555</v>
      </c>
      <c r="S30" t="str">
        <f t="shared" si="3"/>
        <v>INDNGA</v>
      </c>
      <c r="T30" t="str">
        <f t="shared" si="1"/>
        <v>INDCO2Ng</v>
      </c>
      <c r="U30">
        <f t="shared" si="2"/>
        <v>55.99</v>
      </c>
      <c r="X30" t="s">
        <v>277</v>
      </c>
      <c r="AG30" s="18" t="s">
        <v>556</v>
      </c>
      <c r="AH30" s="18" t="s">
        <v>653</v>
      </c>
      <c r="AI30" s="18" t="s">
        <v>651</v>
      </c>
      <c r="AJ30" s="18">
        <v>-0.001</v>
      </c>
    </row>
    <row r="31" spans="1:24">
      <c r="A31" t="s">
        <v>654</v>
      </c>
      <c r="B31" t="str">
        <f t="shared" si="0"/>
        <v>OVC</v>
      </c>
      <c r="G31" s="13" t="s">
        <v>655</v>
      </c>
      <c r="H31" s="14">
        <v>3715.9</v>
      </c>
      <c r="I31" s="13" t="s">
        <v>591</v>
      </c>
      <c r="J31" s="14">
        <v>1685.51</v>
      </c>
      <c r="K31" s="13" t="s">
        <v>591</v>
      </c>
      <c r="L31" s="13">
        <v>214.3</v>
      </c>
      <c r="M31" s="13">
        <v>97.2</v>
      </c>
      <c r="N31" s="13">
        <v>102.55</v>
      </c>
      <c r="R31" t="s">
        <v>555</v>
      </c>
      <c r="S31" t="str">
        <f t="shared" si="3"/>
        <v>INDOIL</v>
      </c>
      <c r="T31" t="str">
        <f t="shared" si="1"/>
        <v>INDCO2No</v>
      </c>
      <c r="U31">
        <f t="shared" si="2"/>
        <v>83.12</v>
      </c>
      <c r="X31" t="s">
        <v>277</v>
      </c>
    </row>
    <row r="32" spans="1:27">
      <c r="A32" t="s">
        <v>656</v>
      </c>
      <c r="B32" t="str">
        <f t="shared" si="0"/>
        <v>PTC</v>
      </c>
      <c r="G32" s="13" t="s">
        <v>657</v>
      </c>
      <c r="H32" s="14">
        <v>2791.6</v>
      </c>
      <c r="I32" s="13" t="s">
        <v>591</v>
      </c>
      <c r="J32" s="14">
        <v>1266.25</v>
      </c>
      <c r="K32" s="13" t="s">
        <v>591</v>
      </c>
      <c r="L32" s="13">
        <v>215.4</v>
      </c>
      <c r="M32" s="13">
        <v>97.7</v>
      </c>
      <c r="N32" s="13">
        <v>103.08</v>
      </c>
      <c r="R32" t="s">
        <v>555</v>
      </c>
      <c r="S32" t="str">
        <f t="shared" si="3"/>
        <v>INDOVC</v>
      </c>
      <c r="T32" t="str">
        <f t="shared" si="1"/>
        <v>INDCO2Nc</v>
      </c>
      <c r="U32">
        <f t="shared" si="2"/>
        <v>120.4</v>
      </c>
      <c r="X32" t="s">
        <v>556</v>
      </c>
      <c r="Y32" t="s">
        <v>658</v>
      </c>
      <c r="Z32" t="s">
        <v>659</v>
      </c>
      <c r="AA32">
        <v>0.001</v>
      </c>
    </row>
    <row r="33" spans="1:27">
      <c r="A33" t="s">
        <v>660</v>
      </c>
      <c r="B33" t="str">
        <f t="shared" si="0"/>
        <v>COA</v>
      </c>
      <c r="G33" s="13" t="s">
        <v>661</v>
      </c>
      <c r="H33" s="14">
        <v>6239.68</v>
      </c>
      <c r="I33" s="13" t="s">
        <v>591</v>
      </c>
      <c r="J33" s="14">
        <v>2830.27</v>
      </c>
      <c r="K33" s="13" t="s">
        <v>591</v>
      </c>
      <c r="L33" s="13">
        <v>251.6</v>
      </c>
      <c r="M33" s="13">
        <v>114.12</v>
      </c>
      <c r="N33" s="13">
        <v>120.4</v>
      </c>
      <c r="R33" t="s">
        <v>555</v>
      </c>
      <c r="S33" t="str">
        <f t="shared" si="3"/>
        <v>INDPTC</v>
      </c>
      <c r="T33" t="str">
        <f t="shared" si="1"/>
        <v>INDCO2No</v>
      </c>
      <c r="U33">
        <f t="shared" si="2"/>
        <v>107.72</v>
      </c>
      <c r="X33" t="s">
        <v>556</v>
      </c>
      <c r="Y33" t="s">
        <v>662</v>
      </c>
      <c r="Z33" t="s">
        <v>659</v>
      </c>
      <c r="AA33">
        <v>-0.001</v>
      </c>
    </row>
    <row r="34" spans="1:24">
      <c r="A34" t="s">
        <v>663</v>
      </c>
      <c r="B34" t="str">
        <f t="shared" si="0"/>
        <v>HFO</v>
      </c>
      <c r="G34" s="13" t="s">
        <v>664</v>
      </c>
      <c r="H34" s="13"/>
      <c r="I34" s="13"/>
      <c r="J34" s="13"/>
      <c r="K34" s="13"/>
      <c r="L34" s="13"/>
      <c r="M34" s="13"/>
      <c r="N34" s="13"/>
      <c r="R34" t="s">
        <v>555</v>
      </c>
      <c r="S34" t="str">
        <f t="shared" si="3"/>
        <v>RESCOA</v>
      </c>
      <c r="T34" t="str">
        <f t="shared" si="1"/>
        <v>RESCO2Nc</v>
      </c>
      <c r="U34">
        <f t="shared" si="2"/>
        <v>98.43</v>
      </c>
      <c r="X34" t="s">
        <v>277</v>
      </c>
    </row>
    <row r="35" spans="1:27">
      <c r="A35" t="s">
        <v>665</v>
      </c>
      <c r="B35" t="str">
        <f t="shared" si="0"/>
        <v>KER</v>
      </c>
      <c r="G35" s="13" t="s">
        <v>666</v>
      </c>
      <c r="H35" s="13" t="s">
        <v>667</v>
      </c>
      <c r="I35" s="13"/>
      <c r="J35" s="13" t="s">
        <v>667</v>
      </c>
      <c r="K35" s="13"/>
      <c r="L35" s="13">
        <v>16.99</v>
      </c>
      <c r="M35" s="13">
        <v>7.71</v>
      </c>
      <c r="N35" s="13">
        <v>8.13</v>
      </c>
      <c r="R35" t="s">
        <v>555</v>
      </c>
      <c r="S35" t="str">
        <f t="shared" si="3"/>
        <v>RESHFO</v>
      </c>
      <c r="T35" t="str">
        <f t="shared" ref="T35:T54" si="7">LEFT(S35,3)&amp;"CO2N"&amp;VLOOKUP(MID(S35,4,7),$D$2:$F$27,3,FALSE)</f>
        <v>RESCO2No</v>
      </c>
      <c r="U35">
        <f t="shared" ref="U35:U54" si="8">VLOOKUP(MID(S35,4,7),$D$2:$F$27,2,FALSE)</f>
        <v>83.12</v>
      </c>
      <c r="X35" t="s">
        <v>556</v>
      </c>
      <c r="Y35" t="s">
        <v>668</v>
      </c>
      <c r="Z35" t="s">
        <v>669</v>
      </c>
      <c r="AA35">
        <v>0.001</v>
      </c>
    </row>
    <row r="36" spans="1:27">
      <c r="A36" t="s">
        <v>670</v>
      </c>
      <c r="B36" t="str">
        <f t="shared" si="0"/>
        <v>LPG</v>
      </c>
      <c r="G36" s="13" t="s">
        <v>671</v>
      </c>
      <c r="H36" s="14">
        <v>5771</v>
      </c>
      <c r="I36" s="13" t="s">
        <v>591</v>
      </c>
      <c r="J36" s="14">
        <v>2617.68</v>
      </c>
      <c r="K36" s="13" t="s">
        <v>591</v>
      </c>
      <c r="L36" s="13">
        <v>91.9</v>
      </c>
      <c r="M36" s="13">
        <v>41.69</v>
      </c>
      <c r="N36" s="13">
        <v>43.98</v>
      </c>
      <c r="R36" t="s">
        <v>555</v>
      </c>
      <c r="S36" t="str">
        <f t="shared" si="3"/>
        <v>RESKER</v>
      </c>
      <c r="T36" t="str">
        <f t="shared" si="7"/>
        <v>RESCO2No</v>
      </c>
      <c r="U36">
        <f t="shared" si="8"/>
        <v>76.28</v>
      </c>
      <c r="X36" s="4" t="s">
        <v>672</v>
      </c>
      <c r="Y36" t="s">
        <v>632</v>
      </c>
      <c r="Z36" t="s">
        <v>669</v>
      </c>
      <c r="AA36">
        <v>0.001</v>
      </c>
    </row>
    <row r="37" spans="1:27">
      <c r="A37" t="s">
        <v>275</v>
      </c>
      <c r="B37" t="str">
        <f t="shared" si="0"/>
        <v>NGA</v>
      </c>
      <c r="G37" s="13" t="s">
        <v>673</v>
      </c>
      <c r="H37" s="14">
        <v>6160</v>
      </c>
      <c r="I37" s="13" t="s">
        <v>591</v>
      </c>
      <c r="J37" s="14">
        <v>2794.13</v>
      </c>
      <c r="K37" s="13" t="s">
        <v>591</v>
      </c>
      <c r="L37" s="13">
        <v>189.54</v>
      </c>
      <c r="M37" s="13">
        <v>85.97</v>
      </c>
      <c r="N37" s="13">
        <v>90.7</v>
      </c>
      <c r="R37" t="s">
        <v>555</v>
      </c>
      <c r="S37" t="str">
        <f t="shared" si="3"/>
        <v>RESLPG</v>
      </c>
      <c r="T37" t="str">
        <f t="shared" si="7"/>
        <v>RESCO2No</v>
      </c>
      <c r="U37">
        <f t="shared" si="8"/>
        <v>67.53</v>
      </c>
      <c r="X37" t="s">
        <v>556</v>
      </c>
      <c r="Y37" t="s">
        <v>674</v>
      </c>
      <c r="Z37" t="s">
        <v>669</v>
      </c>
      <c r="AA37">
        <v>-0.001</v>
      </c>
    </row>
    <row r="38" spans="1:27">
      <c r="A38" t="s">
        <v>675</v>
      </c>
      <c r="B38" t="str">
        <f t="shared" si="0"/>
        <v>OIL</v>
      </c>
      <c r="G38" s="13" t="s">
        <v>676</v>
      </c>
      <c r="H38" s="13">
        <v>924</v>
      </c>
      <c r="I38" s="13" t="s">
        <v>677</v>
      </c>
      <c r="J38" s="13">
        <v>419.12</v>
      </c>
      <c r="K38" s="13" t="s">
        <v>677</v>
      </c>
      <c r="L38" s="13">
        <v>210</v>
      </c>
      <c r="M38" s="13">
        <v>95.25</v>
      </c>
      <c r="N38" s="13">
        <v>100.49</v>
      </c>
      <c r="R38" t="s">
        <v>555</v>
      </c>
      <c r="S38" t="str">
        <f t="shared" si="3"/>
        <v>RESNGA</v>
      </c>
      <c r="T38" t="str">
        <f t="shared" si="7"/>
        <v>RESCO2Ng</v>
      </c>
      <c r="U38">
        <f t="shared" si="8"/>
        <v>55.99</v>
      </c>
      <c r="X38" t="s">
        <v>556</v>
      </c>
      <c r="Y38" t="s">
        <v>631</v>
      </c>
      <c r="Z38" t="s">
        <v>669</v>
      </c>
      <c r="AA38">
        <v>-0.001</v>
      </c>
    </row>
    <row r="39" spans="1:24">
      <c r="A39" t="s">
        <v>678</v>
      </c>
      <c r="B39" t="str">
        <f t="shared" si="0"/>
        <v>BFG</v>
      </c>
      <c r="G39" s="13" t="s">
        <v>679</v>
      </c>
      <c r="H39" s="13"/>
      <c r="I39" s="13"/>
      <c r="J39" s="13"/>
      <c r="K39" s="13"/>
      <c r="L39" s="13"/>
      <c r="M39" s="13"/>
      <c r="N39" s="13"/>
      <c r="R39" t="s">
        <v>555</v>
      </c>
      <c r="S39" t="str">
        <f t="shared" si="3"/>
        <v>RESOIL</v>
      </c>
      <c r="T39" t="str">
        <f t="shared" si="7"/>
        <v>RESCO2No</v>
      </c>
      <c r="U39">
        <f t="shared" si="8"/>
        <v>83.12</v>
      </c>
      <c r="X39" t="s">
        <v>277</v>
      </c>
    </row>
    <row r="40" spans="1:27">
      <c r="A40" t="s">
        <v>680</v>
      </c>
      <c r="B40" t="str">
        <f t="shared" si="0"/>
        <v>BIO</v>
      </c>
      <c r="G40" s="13" t="s">
        <v>681</v>
      </c>
      <c r="H40" s="13"/>
      <c r="I40" s="13"/>
      <c r="J40" s="13"/>
      <c r="K40" s="13"/>
      <c r="L40" s="13"/>
      <c r="M40" s="13"/>
      <c r="N40" s="13"/>
      <c r="R40" t="s">
        <v>555</v>
      </c>
      <c r="S40" t="str">
        <f t="shared" si="3"/>
        <v>SUPBFG</v>
      </c>
      <c r="T40" t="str">
        <f t="shared" si="7"/>
        <v>SUPCO2Nc</v>
      </c>
      <c r="U40">
        <f t="shared" si="8"/>
        <v>55.99</v>
      </c>
      <c r="X40" t="s">
        <v>556</v>
      </c>
      <c r="Y40" t="s">
        <v>682</v>
      </c>
      <c r="Z40" t="s">
        <v>683</v>
      </c>
      <c r="AA40">
        <v>0.001</v>
      </c>
    </row>
    <row r="41" spans="1:27">
      <c r="A41" t="s">
        <v>684</v>
      </c>
      <c r="B41" t="str">
        <f t="shared" si="0"/>
        <v>COA</v>
      </c>
      <c r="G41" s="13" t="s">
        <v>685</v>
      </c>
      <c r="H41" s="13"/>
      <c r="I41" s="13"/>
      <c r="J41" s="13"/>
      <c r="K41" s="13"/>
      <c r="L41" s="13"/>
      <c r="M41" s="13"/>
      <c r="N41" s="13"/>
      <c r="R41" t="s">
        <v>555</v>
      </c>
      <c r="S41" t="str">
        <f t="shared" si="3"/>
        <v>SUPBIO</v>
      </c>
      <c r="T41" t="str">
        <f t="shared" si="7"/>
        <v>SUPCO2Nb</v>
      </c>
      <c r="U41">
        <f t="shared" si="8"/>
        <v>98.43</v>
      </c>
      <c r="X41" t="s">
        <v>556</v>
      </c>
      <c r="Y41" t="s">
        <v>686</v>
      </c>
      <c r="Z41" t="s">
        <v>687</v>
      </c>
      <c r="AA41">
        <v>0.001</v>
      </c>
    </row>
    <row r="42" spans="1:21">
      <c r="A42" t="s">
        <v>688</v>
      </c>
      <c r="B42" t="str">
        <f t="shared" si="0"/>
        <v>COG</v>
      </c>
      <c r="R42" t="s">
        <v>555</v>
      </c>
      <c r="S42" t="str">
        <f t="shared" si="3"/>
        <v>SUPCOA</v>
      </c>
      <c r="T42" t="str">
        <f t="shared" si="7"/>
        <v>SUPCO2Nc</v>
      </c>
      <c r="U42">
        <f t="shared" si="8"/>
        <v>98.43</v>
      </c>
    </row>
    <row r="43" spans="1:21">
      <c r="A43" t="s">
        <v>689</v>
      </c>
      <c r="B43" t="str">
        <f t="shared" si="0"/>
        <v>NGA</v>
      </c>
      <c r="R43" t="s">
        <v>555</v>
      </c>
      <c r="S43" t="str">
        <f t="shared" si="3"/>
        <v>SUPCOG</v>
      </c>
      <c r="T43" t="str">
        <f t="shared" si="7"/>
        <v>SUPCO2Nc</v>
      </c>
      <c r="U43">
        <f t="shared" si="8"/>
        <v>55.99</v>
      </c>
    </row>
    <row r="44" spans="1:21">
      <c r="A44" t="s">
        <v>690</v>
      </c>
      <c r="B44" t="str">
        <f t="shared" si="0"/>
        <v>OIL</v>
      </c>
      <c r="R44" t="s">
        <v>555</v>
      </c>
      <c r="S44" t="str">
        <f t="shared" si="3"/>
        <v>SUPNGA</v>
      </c>
      <c r="T44" t="str">
        <f t="shared" si="7"/>
        <v>SUPCO2Ng</v>
      </c>
      <c r="U44">
        <f t="shared" si="8"/>
        <v>55.99</v>
      </c>
    </row>
    <row r="45" spans="1:24">
      <c r="A45" t="s">
        <v>691</v>
      </c>
      <c r="B45" t="str">
        <f t="shared" si="0"/>
        <v>RFG</v>
      </c>
      <c r="R45" t="s">
        <v>555</v>
      </c>
      <c r="S45" t="str">
        <f t="shared" si="3"/>
        <v>SUPOIL</v>
      </c>
      <c r="T45" t="str">
        <f t="shared" si="7"/>
        <v>SUPCO2No</v>
      </c>
      <c r="U45">
        <f t="shared" si="8"/>
        <v>83.12</v>
      </c>
      <c r="X45" t="s">
        <v>89</v>
      </c>
    </row>
    <row r="46" spans="1:30">
      <c r="A46" t="s">
        <v>692</v>
      </c>
      <c r="B46" t="str">
        <f t="shared" si="0"/>
        <v>RPP</v>
      </c>
      <c r="R46" t="s">
        <v>555</v>
      </c>
      <c r="S46" t="str">
        <f t="shared" si="3"/>
        <v>SUPRFG</v>
      </c>
      <c r="T46" t="str">
        <f t="shared" si="7"/>
        <v>SUPCO2No</v>
      </c>
      <c r="U46">
        <f t="shared" si="8"/>
        <v>55.99</v>
      </c>
      <c r="X46" t="s">
        <v>56</v>
      </c>
      <c r="Y46" t="s">
        <v>537</v>
      </c>
      <c r="Z46" t="s">
        <v>265</v>
      </c>
      <c r="AA46" t="s">
        <v>125</v>
      </c>
      <c r="AB46">
        <v>2020</v>
      </c>
      <c r="AC46">
        <v>2050</v>
      </c>
      <c r="AD46" t="s">
        <v>287</v>
      </c>
    </row>
    <row r="47" spans="1:30">
      <c r="A47" t="s">
        <v>693</v>
      </c>
      <c r="B47" t="str">
        <f t="shared" si="0"/>
        <v>COA</v>
      </c>
      <c r="R47" t="s">
        <v>555</v>
      </c>
      <c r="S47" t="str">
        <f t="shared" si="3"/>
        <v>SUPRPP</v>
      </c>
      <c r="T47" t="str">
        <f t="shared" si="7"/>
        <v>SUPCO2No</v>
      </c>
      <c r="U47">
        <f t="shared" si="8"/>
        <v>77.19</v>
      </c>
      <c r="X47" t="s">
        <v>592</v>
      </c>
      <c r="Y47" t="s">
        <v>694</v>
      </c>
      <c r="Z47" t="s">
        <v>461</v>
      </c>
      <c r="AA47" t="s">
        <v>653</v>
      </c>
      <c r="AB47">
        <v>0.9</v>
      </c>
      <c r="AD47" t="str">
        <f>AA47</f>
        <v>CO2Captured_elc</v>
      </c>
    </row>
    <row r="48" spans="1:30">
      <c r="A48" t="s">
        <v>301</v>
      </c>
      <c r="B48" t="str">
        <f t="shared" si="0"/>
        <v>DST</v>
      </c>
      <c r="R48" t="s">
        <v>555</v>
      </c>
      <c r="S48" t="str">
        <f t="shared" si="3"/>
        <v>TRACOA</v>
      </c>
      <c r="T48" t="str">
        <f t="shared" si="7"/>
        <v>TRACO2Nc</v>
      </c>
      <c r="U48">
        <f t="shared" si="8"/>
        <v>98.43</v>
      </c>
      <c r="X48" t="s">
        <v>592</v>
      </c>
      <c r="Y48" t="s">
        <v>695</v>
      </c>
      <c r="Z48" t="s">
        <v>465</v>
      </c>
      <c r="AA48" t="s">
        <v>653</v>
      </c>
      <c r="AB48">
        <v>0.8</v>
      </c>
      <c r="AD48" t="str">
        <f>AA48</f>
        <v>CO2Captured_elc</v>
      </c>
    </row>
    <row r="49" spans="1:30">
      <c r="A49" t="s">
        <v>299</v>
      </c>
      <c r="B49" t="str">
        <f t="shared" si="0"/>
        <v>GSL</v>
      </c>
      <c r="R49" t="s">
        <v>555</v>
      </c>
      <c r="S49" t="str">
        <f t="shared" si="3"/>
        <v>TRADST</v>
      </c>
      <c r="T49" t="str">
        <f t="shared" si="7"/>
        <v>TRACO2No</v>
      </c>
      <c r="U49">
        <f t="shared" si="8"/>
        <v>77.19</v>
      </c>
      <c r="X49" t="s">
        <v>592</v>
      </c>
      <c r="Y49" t="s">
        <v>696</v>
      </c>
      <c r="Z49" t="s">
        <v>282</v>
      </c>
      <c r="AA49" t="s">
        <v>653</v>
      </c>
      <c r="AB49">
        <v>0.95</v>
      </c>
      <c r="AC49">
        <v>0.98</v>
      </c>
      <c r="AD49" t="str">
        <f>AA49</f>
        <v>CO2Captured_elc</v>
      </c>
    </row>
    <row r="50" spans="1:21">
      <c r="A50" t="s">
        <v>697</v>
      </c>
      <c r="B50" t="str">
        <f t="shared" si="0"/>
        <v>HFO</v>
      </c>
      <c r="R50" t="s">
        <v>555</v>
      </c>
      <c r="S50" t="str">
        <f t="shared" si="3"/>
        <v>TRAGSL</v>
      </c>
      <c r="T50" t="str">
        <f t="shared" si="7"/>
        <v>TRACO2No</v>
      </c>
      <c r="U50">
        <f t="shared" si="8"/>
        <v>75.22</v>
      </c>
    </row>
    <row r="51" spans="1:21">
      <c r="A51" t="s">
        <v>297</v>
      </c>
      <c r="B51" t="str">
        <f t="shared" si="0"/>
        <v>JTK</v>
      </c>
      <c r="R51" t="s">
        <v>555</v>
      </c>
      <c r="S51" t="str">
        <f t="shared" si="3"/>
        <v>TRAHFO</v>
      </c>
      <c r="T51" t="str">
        <f t="shared" si="7"/>
        <v>TRACO2No</v>
      </c>
      <c r="U51">
        <f t="shared" si="8"/>
        <v>83.12</v>
      </c>
    </row>
    <row r="52" spans="1:24">
      <c r="A52" t="s">
        <v>698</v>
      </c>
      <c r="B52" t="str">
        <f t="shared" si="0"/>
        <v>LPG</v>
      </c>
      <c r="R52" t="s">
        <v>555</v>
      </c>
      <c r="S52" t="str">
        <f t="shared" si="3"/>
        <v>TRAJTK</v>
      </c>
      <c r="T52" t="str">
        <f t="shared" si="7"/>
        <v>TRACO2No</v>
      </c>
      <c r="U52">
        <f t="shared" si="8"/>
        <v>74.8</v>
      </c>
      <c r="X52" t="s">
        <v>89</v>
      </c>
    </row>
    <row r="53" spans="1:31">
      <c r="A53" t="s">
        <v>111</v>
      </c>
      <c r="B53" t="str">
        <f t="shared" si="0"/>
        <v>NGA</v>
      </c>
      <c r="R53" t="s">
        <v>555</v>
      </c>
      <c r="S53" t="str">
        <f t="shared" si="3"/>
        <v>TRALPG</v>
      </c>
      <c r="T53" t="str">
        <f t="shared" si="7"/>
        <v>TRACO2No</v>
      </c>
      <c r="U53">
        <f t="shared" si="8"/>
        <v>67.53</v>
      </c>
      <c r="X53" t="s">
        <v>76</v>
      </c>
      <c r="Y53" t="s">
        <v>699</v>
      </c>
      <c r="Z53" t="s">
        <v>91</v>
      </c>
      <c r="AA53" t="s">
        <v>73</v>
      </c>
      <c r="AB53" t="s">
        <v>77</v>
      </c>
      <c r="AC53">
        <v>2020</v>
      </c>
      <c r="AD53">
        <v>2030</v>
      </c>
      <c r="AE53" t="s">
        <v>253</v>
      </c>
    </row>
    <row r="54" spans="1:31">
      <c r="A54" t="s">
        <v>700</v>
      </c>
      <c r="B54" t="str">
        <f t="shared" si="0"/>
        <v>BIO</v>
      </c>
      <c r="R54" t="s">
        <v>555</v>
      </c>
      <c r="S54" t="str">
        <f t="shared" si="3"/>
        <v>TRANGA</v>
      </c>
      <c r="T54" t="str">
        <f t="shared" si="7"/>
        <v>TRACO2Ng</v>
      </c>
      <c r="U54">
        <f t="shared" si="8"/>
        <v>55.99</v>
      </c>
      <c r="X54" t="s">
        <v>102</v>
      </c>
      <c r="Y54" t="s">
        <v>627</v>
      </c>
      <c r="Z54" t="s">
        <v>701</v>
      </c>
      <c r="AA54" t="s">
        <v>592</v>
      </c>
      <c r="AB54" t="s">
        <v>127</v>
      </c>
      <c r="AC54">
        <v>0.9</v>
      </c>
      <c r="AD54">
        <v>0.95</v>
      </c>
      <c r="AE54" t="s">
        <v>674</v>
      </c>
    </row>
    <row r="55" spans="18:31">
      <c r="R55" t="s">
        <v>555</v>
      </c>
      <c r="S55" t="str">
        <f t="shared" ref="S55" si="9">A54</f>
        <v>INDBIO</v>
      </c>
      <c r="T55" t="str">
        <f t="shared" ref="T55" si="10">LEFT(S55,3)&amp;"CO2N"&amp;VLOOKUP(MID(S55,4,7),$D$2:$F$27,3,FALSE)</f>
        <v>INDCO2Nb</v>
      </c>
      <c r="U55">
        <f t="shared" ref="U55" si="11">VLOOKUP(MID(S55,4,7),$D$2:$F$27,2,FALSE)</f>
        <v>98.43</v>
      </c>
      <c r="X55" t="s">
        <v>617</v>
      </c>
      <c r="Y55" t="s">
        <v>618</v>
      </c>
      <c r="Z55" t="s">
        <v>701</v>
      </c>
      <c r="AA55" t="s">
        <v>592</v>
      </c>
      <c r="AB55" t="s">
        <v>127</v>
      </c>
      <c r="AC55">
        <v>0.9</v>
      </c>
      <c r="AD55">
        <v>0.95</v>
      </c>
      <c r="AE55" t="s">
        <v>674</v>
      </c>
    </row>
  </sheetData>
  <sortState ref="D2:D27">
    <sortCondition ref="D2:D27"/>
  </sortState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tabColor rgb="FFFF0000"/>
  </sheetPr>
  <dimension ref="B1:W143"/>
  <sheetViews>
    <sheetView zoomScale="66" zoomScaleNormal="66" workbookViewId="0">
      <selection activeCell="AB27" sqref="AB27"/>
    </sheetView>
  </sheetViews>
  <sheetFormatPr defaultColWidth="9" defaultRowHeight="14.5"/>
  <cols>
    <col min="2" max="2" width="24" customWidth="1"/>
    <col min="3" max="3" width="12.7272727272727" customWidth="1"/>
    <col min="4" max="4" width="11.7272727272727" customWidth="1"/>
    <col min="5" max="5" width="6.6" customWidth="1"/>
    <col min="6" max="6" width="7.86363636363636" customWidth="1"/>
    <col min="7" max="7" width="5" customWidth="1"/>
    <col min="8" max="8" width="5.54545454545455" customWidth="1"/>
    <col min="9" max="9" width="10.8636363636364" customWidth="1"/>
    <col min="10" max="10" width="1.72727272727273" customWidth="1"/>
    <col min="11" max="11" width="12.8181818181818" customWidth="1"/>
    <col min="13" max="13" width="13.8636363636364" customWidth="1"/>
    <col min="14" max="14" width="14.0909090909091" customWidth="1"/>
    <col min="15" max="15" width="9.72727272727273" customWidth="1"/>
    <col min="16" max="16" width="1.72727272727273" customWidth="1"/>
    <col min="17" max="19" width="10.8636363636364" customWidth="1"/>
    <col min="20" max="20" width="14.0909090909091" customWidth="1"/>
    <col min="21" max="21" width="10.8636363636364" customWidth="1"/>
    <col min="22" max="22" width="1.72727272727273" customWidth="1"/>
    <col min="23" max="23" width="9.6" customWidth="1"/>
  </cols>
  <sheetData>
    <row r="1" spans="13:19">
      <c r="M1" t="s">
        <v>702</v>
      </c>
      <c r="S1" s="10" t="s">
        <v>703</v>
      </c>
    </row>
    <row r="2" spans="2:23">
      <c r="B2" t="s">
        <v>704</v>
      </c>
      <c r="H2" t="s">
        <v>243</v>
      </c>
      <c r="I2" t="s">
        <v>705</v>
      </c>
      <c r="J2" t="s">
        <v>277</v>
      </c>
      <c r="K2" t="s">
        <v>706</v>
      </c>
      <c r="M2" t="s">
        <v>252</v>
      </c>
      <c r="N2" t="s">
        <v>73</v>
      </c>
      <c r="O2">
        <v>2020</v>
      </c>
      <c r="P2">
        <v>0</v>
      </c>
      <c r="Q2" t="s">
        <v>253</v>
      </c>
      <c r="S2" t="s">
        <v>252</v>
      </c>
      <c r="T2" t="s">
        <v>73</v>
      </c>
      <c r="U2">
        <v>2020</v>
      </c>
      <c r="V2">
        <v>0</v>
      </c>
      <c r="W2" t="s">
        <v>253</v>
      </c>
    </row>
    <row r="3" spans="2:23">
      <c r="B3" t="s">
        <v>707</v>
      </c>
      <c r="C3" t="s">
        <v>314</v>
      </c>
      <c r="D3" t="s">
        <v>383</v>
      </c>
      <c r="E3" t="s">
        <v>58</v>
      </c>
      <c r="H3">
        <v>2019</v>
      </c>
      <c r="I3" t="s">
        <v>708</v>
      </c>
      <c r="K3" s="6">
        <v>803570.015326143</v>
      </c>
      <c r="M3" t="str">
        <f>$I3</f>
        <v>Africa_SS</v>
      </c>
      <c r="N3" t="s">
        <v>254</v>
      </c>
      <c r="O3" s="7">
        <f>-K3/1000</f>
        <v>-803.570015326143</v>
      </c>
      <c r="P3">
        <v>3</v>
      </c>
      <c r="Q3" t="s">
        <v>422</v>
      </c>
      <c r="S3" t="str">
        <f>$I3</f>
        <v>Africa_SS</v>
      </c>
      <c r="T3" t="s">
        <v>254</v>
      </c>
      <c r="U3" s="7">
        <f>-K3/1000*2/3</f>
        <v>-535.713343550762</v>
      </c>
      <c r="V3">
        <v>3</v>
      </c>
      <c r="W3" t="s">
        <v>709</v>
      </c>
    </row>
    <row r="4" spans="2:23">
      <c r="B4" t="s">
        <v>241</v>
      </c>
      <c r="C4" t="s">
        <v>558</v>
      </c>
      <c r="D4">
        <v>0.08</v>
      </c>
      <c r="E4" t="s">
        <v>710</v>
      </c>
      <c r="H4">
        <v>2019</v>
      </c>
      <c r="I4" t="s">
        <v>152</v>
      </c>
      <c r="K4" s="6">
        <v>4829.99992370605</v>
      </c>
      <c r="M4" t="str">
        <f t="shared" ref="M4:M67" si="0">$I4</f>
        <v>Albania</v>
      </c>
      <c r="N4" t="s">
        <v>254</v>
      </c>
      <c r="O4" s="7">
        <f t="shared" ref="O4:O46" si="1">-K4/1000</f>
        <v>-4.82999992370605</v>
      </c>
      <c r="P4">
        <v>3</v>
      </c>
      <c r="Q4" t="s">
        <v>422</v>
      </c>
      <c r="S4" t="str">
        <f t="shared" ref="S4:S67" si="2">$I4</f>
        <v>Albania</v>
      </c>
      <c r="T4" t="s">
        <v>254</v>
      </c>
      <c r="U4" s="7">
        <f t="shared" ref="U4:U46" si="3">-K4/1000*2/3</f>
        <v>-3.21999994913737</v>
      </c>
      <c r="V4">
        <v>3</v>
      </c>
      <c r="W4" t="s">
        <v>709</v>
      </c>
    </row>
    <row r="5" spans="2:23">
      <c r="B5" t="s">
        <v>240</v>
      </c>
      <c r="C5" t="s">
        <v>558</v>
      </c>
      <c r="D5">
        <v>0.01</v>
      </c>
      <c r="E5" t="s">
        <v>710</v>
      </c>
      <c r="H5">
        <v>2019</v>
      </c>
      <c r="I5" t="s">
        <v>153</v>
      </c>
      <c r="K5" s="6">
        <v>171250</v>
      </c>
      <c r="M5" t="str">
        <f t="shared" si="0"/>
        <v>Algeria</v>
      </c>
      <c r="N5" t="s">
        <v>254</v>
      </c>
      <c r="O5" s="7">
        <f t="shared" si="1"/>
        <v>-171.25</v>
      </c>
      <c r="P5">
        <v>3</v>
      </c>
      <c r="Q5" t="s">
        <v>422</v>
      </c>
      <c r="S5" t="str">
        <f t="shared" si="2"/>
        <v>Algeria</v>
      </c>
      <c r="T5" t="s">
        <v>254</v>
      </c>
      <c r="U5" s="7">
        <f t="shared" si="3"/>
        <v>-114.166666666667</v>
      </c>
      <c r="V5">
        <v>3</v>
      </c>
      <c r="W5" t="s">
        <v>709</v>
      </c>
    </row>
    <row r="6" spans="2:23">
      <c r="B6" t="s">
        <v>239</v>
      </c>
      <c r="C6" t="s">
        <v>558</v>
      </c>
      <c r="D6">
        <v>0.05</v>
      </c>
      <c r="E6" t="s">
        <v>710</v>
      </c>
      <c r="H6">
        <v>2019</v>
      </c>
      <c r="I6" t="s">
        <v>154</v>
      </c>
      <c r="K6" s="6">
        <v>25209.9990844727</v>
      </c>
      <c r="M6" t="str">
        <f t="shared" si="0"/>
        <v>Angola</v>
      </c>
      <c r="N6" t="s">
        <v>254</v>
      </c>
      <c r="O6" s="7">
        <f t="shared" si="1"/>
        <v>-25.2099990844727</v>
      </c>
      <c r="P6">
        <v>3</v>
      </c>
      <c r="Q6" t="s">
        <v>422</v>
      </c>
      <c r="S6" t="str">
        <f t="shared" si="2"/>
        <v>Angola</v>
      </c>
      <c r="T6" t="s">
        <v>254</v>
      </c>
      <c r="U6" s="7">
        <f t="shared" si="3"/>
        <v>-16.8066660563151</v>
      </c>
      <c r="V6">
        <v>3</v>
      </c>
      <c r="W6" t="s">
        <v>709</v>
      </c>
    </row>
    <row r="7" spans="2:23">
      <c r="B7" t="s">
        <v>238</v>
      </c>
      <c r="C7" t="s">
        <v>558</v>
      </c>
      <c r="D7">
        <v>0.0375</v>
      </c>
      <c r="E7" t="s">
        <v>710</v>
      </c>
      <c r="H7">
        <v>2019</v>
      </c>
      <c r="I7" t="s">
        <v>155</v>
      </c>
      <c r="K7" s="6">
        <v>168100.006103516</v>
      </c>
      <c r="M7" t="str">
        <f t="shared" si="0"/>
        <v>Argentina</v>
      </c>
      <c r="N7" t="s">
        <v>254</v>
      </c>
      <c r="O7" s="7">
        <f t="shared" si="1"/>
        <v>-168.100006103516</v>
      </c>
      <c r="P7">
        <v>3</v>
      </c>
      <c r="Q7" t="s">
        <v>422</v>
      </c>
      <c r="S7" t="str">
        <f t="shared" si="2"/>
        <v>Argentina</v>
      </c>
      <c r="T7" t="s">
        <v>254</v>
      </c>
      <c r="U7" s="7">
        <f t="shared" si="3"/>
        <v>-112.066670735677</v>
      </c>
      <c r="V7">
        <v>3</v>
      </c>
      <c r="W7" t="s">
        <v>709</v>
      </c>
    </row>
    <row r="8" spans="2:23">
      <c r="B8" t="s">
        <v>237</v>
      </c>
      <c r="C8" t="s">
        <v>558</v>
      </c>
      <c r="D8">
        <v>0.0375</v>
      </c>
      <c r="E8" t="s">
        <v>710</v>
      </c>
      <c r="H8">
        <v>2019</v>
      </c>
      <c r="I8" t="s">
        <v>156</v>
      </c>
      <c r="K8" s="6">
        <v>6170.00007629395</v>
      </c>
      <c r="M8" t="str">
        <f t="shared" si="0"/>
        <v>Armenia</v>
      </c>
      <c r="N8" t="s">
        <v>254</v>
      </c>
      <c r="O8" s="7">
        <f t="shared" si="1"/>
        <v>-6.17000007629395</v>
      </c>
      <c r="P8">
        <v>3</v>
      </c>
      <c r="Q8" t="s">
        <v>422</v>
      </c>
      <c r="S8" t="str">
        <f t="shared" si="2"/>
        <v>Armenia</v>
      </c>
      <c r="T8" t="s">
        <v>254</v>
      </c>
      <c r="U8" s="7">
        <f t="shared" si="3"/>
        <v>-4.11333338419597</v>
      </c>
      <c r="V8">
        <v>3</v>
      </c>
      <c r="W8" t="s">
        <v>709</v>
      </c>
    </row>
    <row r="9" spans="2:23">
      <c r="B9" t="s">
        <v>236</v>
      </c>
      <c r="C9" t="s">
        <v>558</v>
      </c>
      <c r="D9">
        <v>0.025</v>
      </c>
      <c r="E9" t="s">
        <v>710</v>
      </c>
      <c r="H9">
        <v>2019</v>
      </c>
      <c r="I9" t="s">
        <v>711</v>
      </c>
      <c r="K9" s="6">
        <v>2160279.92248535</v>
      </c>
      <c r="M9" t="str">
        <f t="shared" si="0"/>
        <v>Asia_Dev</v>
      </c>
      <c r="N9" t="s">
        <v>254</v>
      </c>
      <c r="O9" s="7">
        <f t="shared" si="1"/>
        <v>-2160.27992248535</v>
      </c>
      <c r="P9">
        <v>3</v>
      </c>
      <c r="Q9" t="s">
        <v>422</v>
      </c>
      <c r="S9" t="str">
        <f t="shared" si="2"/>
        <v>Asia_Dev</v>
      </c>
      <c r="T9" t="s">
        <v>254</v>
      </c>
      <c r="U9" s="7">
        <f t="shared" si="3"/>
        <v>-1440.18661499023</v>
      </c>
      <c r="V9">
        <v>3</v>
      </c>
      <c r="W9" t="s">
        <v>709</v>
      </c>
    </row>
    <row r="10" spans="2:23">
      <c r="B10" t="s">
        <v>40</v>
      </c>
      <c r="C10" t="s">
        <v>558</v>
      </c>
      <c r="D10">
        <v>0.0375</v>
      </c>
      <c r="E10" t="s">
        <v>710</v>
      </c>
      <c r="H10">
        <v>2019</v>
      </c>
      <c r="I10" t="s">
        <v>712</v>
      </c>
      <c r="K10" s="6">
        <v>2096160.02257727</v>
      </c>
      <c r="M10" t="str">
        <f t="shared" si="0"/>
        <v>Asia_Em</v>
      </c>
      <c r="N10" t="s">
        <v>254</v>
      </c>
      <c r="O10" s="7">
        <f t="shared" si="1"/>
        <v>-2096.16002257727</v>
      </c>
      <c r="P10">
        <v>3</v>
      </c>
      <c r="Q10" t="s">
        <v>422</v>
      </c>
      <c r="S10" t="str">
        <f t="shared" si="2"/>
        <v>Asia_Em</v>
      </c>
      <c r="T10" t="s">
        <v>254</v>
      </c>
      <c r="U10" s="7">
        <f t="shared" si="3"/>
        <v>-1397.44001505151</v>
      </c>
      <c r="V10">
        <v>3</v>
      </c>
      <c r="W10" t="s">
        <v>709</v>
      </c>
    </row>
    <row r="11" spans="2:23">
      <c r="B11" t="s">
        <v>39</v>
      </c>
      <c r="C11" t="s">
        <v>558</v>
      </c>
      <c r="D11">
        <v>0.08</v>
      </c>
      <c r="E11" t="s">
        <v>710</v>
      </c>
      <c r="H11">
        <v>2019</v>
      </c>
      <c r="I11" t="s">
        <v>9</v>
      </c>
      <c r="K11" s="6">
        <v>386529.998779297</v>
      </c>
      <c r="M11" t="str">
        <f t="shared" si="0"/>
        <v>Australia</v>
      </c>
      <c r="N11" t="s">
        <v>254</v>
      </c>
      <c r="O11" s="7">
        <f t="shared" si="1"/>
        <v>-386.529998779297</v>
      </c>
      <c r="P11">
        <v>3</v>
      </c>
      <c r="Q11" t="s">
        <v>422</v>
      </c>
      <c r="S11" t="str">
        <f t="shared" si="2"/>
        <v>Australia</v>
      </c>
      <c r="T11" t="s">
        <v>254</v>
      </c>
      <c r="U11" s="7">
        <f t="shared" si="3"/>
        <v>-257.686665852865</v>
      </c>
      <c r="V11">
        <v>3</v>
      </c>
      <c r="W11" t="s">
        <v>709</v>
      </c>
    </row>
    <row r="12" spans="2:23">
      <c r="B12" t="s">
        <v>235</v>
      </c>
      <c r="C12" t="s">
        <v>558</v>
      </c>
      <c r="D12">
        <v>0.01</v>
      </c>
      <c r="E12" t="s">
        <v>710</v>
      </c>
      <c r="H12">
        <v>2019</v>
      </c>
      <c r="I12" t="s">
        <v>10</v>
      </c>
      <c r="K12" s="6">
        <v>64769.9966430664</v>
      </c>
      <c r="M12" t="str">
        <f t="shared" si="0"/>
        <v>Austria</v>
      </c>
      <c r="N12" t="s">
        <v>254</v>
      </c>
      <c r="O12" s="7">
        <f t="shared" si="1"/>
        <v>-64.7699966430664</v>
      </c>
      <c r="P12">
        <v>3</v>
      </c>
      <c r="Q12" t="s">
        <v>422</v>
      </c>
      <c r="S12" t="str">
        <f t="shared" si="2"/>
        <v>Austria</v>
      </c>
      <c r="T12" t="s">
        <v>254</v>
      </c>
      <c r="U12" s="7">
        <f t="shared" si="3"/>
        <v>-43.1799977620443</v>
      </c>
      <c r="V12">
        <v>3</v>
      </c>
      <c r="W12" t="s">
        <v>709</v>
      </c>
    </row>
    <row r="13" spans="2:23">
      <c r="B13" t="s">
        <v>234</v>
      </c>
      <c r="C13" t="s">
        <v>558</v>
      </c>
      <c r="D13">
        <v>0.0375</v>
      </c>
      <c r="E13" t="s">
        <v>710</v>
      </c>
      <c r="H13">
        <v>2019</v>
      </c>
      <c r="I13" t="s">
        <v>157</v>
      </c>
      <c r="K13" s="6">
        <v>35509.9983215332</v>
      </c>
      <c r="M13" t="str">
        <f t="shared" si="0"/>
        <v>Azerbaijan</v>
      </c>
      <c r="N13" t="s">
        <v>254</v>
      </c>
      <c r="O13" s="7">
        <f t="shared" si="1"/>
        <v>-35.5099983215332</v>
      </c>
      <c r="P13">
        <v>3</v>
      </c>
      <c r="Q13" t="s">
        <v>422</v>
      </c>
      <c r="S13" t="str">
        <f t="shared" si="2"/>
        <v>Azerbaijan</v>
      </c>
      <c r="T13" t="s">
        <v>254</v>
      </c>
      <c r="U13" s="7">
        <f t="shared" si="3"/>
        <v>-23.6733322143555</v>
      </c>
      <c r="V13">
        <v>3</v>
      </c>
      <c r="W13" t="s">
        <v>709</v>
      </c>
    </row>
    <row r="14" spans="2:23">
      <c r="B14" t="s">
        <v>38</v>
      </c>
      <c r="C14" t="s">
        <v>558</v>
      </c>
      <c r="D14">
        <v>0.0375</v>
      </c>
      <c r="E14" t="s">
        <v>710</v>
      </c>
      <c r="H14">
        <v>2019</v>
      </c>
      <c r="I14" t="s">
        <v>11</v>
      </c>
      <c r="K14" s="6">
        <v>29480.0000190735</v>
      </c>
      <c r="M14" t="str">
        <f t="shared" si="0"/>
        <v>Baltics</v>
      </c>
      <c r="N14" t="s">
        <v>254</v>
      </c>
      <c r="O14" s="7">
        <f t="shared" si="1"/>
        <v>-29.4800000190735</v>
      </c>
      <c r="P14">
        <v>3</v>
      </c>
      <c r="Q14" t="s">
        <v>422</v>
      </c>
      <c r="S14" t="str">
        <f t="shared" si="2"/>
        <v>Baltics</v>
      </c>
      <c r="T14" t="s">
        <v>254</v>
      </c>
      <c r="U14" s="7">
        <f t="shared" si="3"/>
        <v>-19.653333346049</v>
      </c>
      <c r="V14">
        <v>3</v>
      </c>
      <c r="W14" t="s">
        <v>709</v>
      </c>
    </row>
    <row r="15" spans="2:23">
      <c r="B15" t="s">
        <v>233</v>
      </c>
      <c r="C15" t="s">
        <v>558</v>
      </c>
      <c r="D15">
        <v>0.08</v>
      </c>
      <c r="E15" t="s">
        <v>710</v>
      </c>
      <c r="H15">
        <v>2019</v>
      </c>
      <c r="I15" t="s">
        <v>158</v>
      </c>
      <c r="K15" s="6">
        <v>90739.9978637695</v>
      </c>
      <c r="M15" t="str">
        <f t="shared" si="0"/>
        <v>Bangladesh</v>
      </c>
      <c r="N15" t="s">
        <v>254</v>
      </c>
      <c r="O15" s="7">
        <f t="shared" si="1"/>
        <v>-90.7399978637695</v>
      </c>
      <c r="P15">
        <v>3</v>
      </c>
      <c r="Q15" t="s">
        <v>422</v>
      </c>
      <c r="S15" t="str">
        <f t="shared" si="2"/>
        <v>Bangladesh</v>
      </c>
      <c r="T15" t="s">
        <v>254</v>
      </c>
      <c r="U15" s="7">
        <f t="shared" si="3"/>
        <v>-60.4933319091797</v>
      </c>
      <c r="V15">
        <v>3</v>
      </c>
      <c r="W15" t="s">
        <v>709</v>
      </c>
    </row>
    <row r="16" spans="2:23">
      <c r="B16" t="s">
        <v>232</v>
      </c>
      <c r="C16" t="s">
        <v>558</v>
      </c>
      <c r="D16">
        <v>0.05</v>
      </c>
      <c r="E16" t="s">
        <v>710</v>
      </c>
      <c r="H16">
        <v>2019</v>
      </c>
      <c r="I16" t="s">
        <v>159</v>
      </c>
      <c r="K16" s="6">
        <v>57669.9981689453</v>
      </c>
      <c r="M16" t="str">
        <f t="shared" si="0"/>
        <v>Belarus</v>
      </c>
      <c r="N16" t="s">
        <v>254</v>
      </c>
      <c r="O16" s="7">
        <f t="shared" si="1"/>
        <v>-57.6699981689453</v>
      </c>
      <c r="P16">
        <v>3</v>
      </c>
      <c r="Q16" t="s">
        <v>422</v>
      </c>
      <c r="S16" t="str">
        <f t="shared" si="2"/>
        <v>Belarus</v>
      </c>
      <c r="T16" t="s">
        <v>254</v>
      </c>
      <c r="U16" s="7">
        <f t="shared" si="3"/>
        <v>-38.4466654459635</v>
      </c>
      <c r="V16">
        <v>3</v>
      </c>
      <c r="W16" t="s">
        <v>709</v>
      </c>
    </row>
    <row r="17" spans="2:23">
      <c r="B17" t="s">
        <v>231</v>
      </c>
      <c r="C17" t="s">
        <v>558</v>
      </c>
      <c r="D17">
        <v>0.08</v>
      </c>
      <c r="E17" t="s">
        <v>710</v>
      </c>
      <c r="H17">
        <v>2019</v>
      </c>
      <c r="I17" t="s">
        <v>160</v>
      </c>
      <c r="K17" s="6">
        <v>93010.0021362305</v>
      </c>
      <c r="M17" t="str">
        <f t="shared" si="0"/>
        <v>Belgium</v>
      </c>
      <c r="N17" t="s">
        <v>254</v>
      </c>
      <c r="O17" s="7">
        <f t="shared" si="1"/>
        <v>-93.0100021362305</v>
      </c>
      <c r="P17">
        <v>3</v>
      </c>
      <c r="Q17" t="s">
        <v>422</v>
      </c>
      <c r="S17" t="str">
        <f t="shared" si="2"/>
        <v>Belgium</v>
      </c>
      <c r="T17" t="s">
        <v>254</v>
      </c>
      <c r="U17" s="7">
        <f t="shared" si="3"/>
        <v>-62.0066680908203</v>
      </c>
      <c r="V17">
        <v>3</v>
      </c>
      <c r="W17" t="s">
        <v>709</v>
      </c>
    </row>
    <row r="18" spans="2:23">
      <c r="B18" t="s">
        <v>230</v>
      </c>
      <c r="C18" t="s">
        <v>558</v>
      </c>
      <c r="D18">
        <v>0.0375</v>
      </c>
      <c r="E18" t="s">
        <v>710</v>
      </c>
      <c r="H18">
        <v>2019</v>
      </c>
      <c r="I18" t="s">
        <v>161</v>
      </c>
      <c r="K18" s="6">
        <v>21069.9996948242</v>
      </c>
      <c r="M18" t="str">
        <f t="shared" si="0"/>
        <v>Bosnia_Herz</v>
      </c>
      <c r="N18" t="s">
        <v>254</v>
      </c>
      <c r="O18" s="7">
        <f t="shared" si="1"/>
        <v>-21.0699996948242</v>
      </c>
      <c r="P18">
        <v>3</v>
      </c>
      <c r="Q18" t="s">
        <v>422</v>
      </c>
      <c r="S18" t="str">
        <f t="shared" si="2"/>
        <v>Bosnia_Herz</v>
      </c>
      <c r="T18" t="s">
        <v>254</v>
      </c>
      <c r="U18" s="7">
        <f t="shared" si="3"/>
        <v>-14.0466664632161</v>
      </c>
      <c r="V18">
        <v>3</v>
      </c>
      <c r="W18" t="s">
        <v>709</v>
      </c>
    </row>
    <row r="19" spans="2:23">
      <c r="B19" t="s">
        <v>229</v>
      </c>
      <c r="C19" t="s">
        <v>558</v>
      </c>
      <c r="D19">
        <v>0.1</v>
      </c>
      <c r="E19" t="s">
        <v>710</v>
      </c>
      <c r="H19">
        <v>2019</v>
      </c>
      <c r="I19" t="s">
        <v>13</v>
      </c>
      <c r="K19" s="6">
        <v>434299.987792969</v>
      </c>
      <c r="M19" t="str">
        <f t="shared" si="0"/>
        <v>Brazil</v>
      </c>
      <c r="N19" t="s">
        <v>254</v>
      </c>
      <c r="O19" s="7">
        <f t="shared" si="1"/>
        <v>-434.299987792969</v>
      </c>
      <c r="P19">
        <v>3</v>
      </c>
      <c r="Q19" t="s">
        <v>422</v>
      </c>
      <c r="S19" t="str">
        <f t="shared" si="2"/>
        <v>Brazil</v>
      </c>
      <c r="T19" t="s">
        <v>254</v>
      </c>
      <c r="U19" s="7">
        <f t="shared" si="3"/>
        <v>-289.533325195313</v>
      </c>
      <c r="V19">
        <v>3</v>
      </c>
      <c r="W19" t="s">
        <v>709</v>
      </c>
    </row>
    <row r="20" spans="2:23">
      <c r="B20" t="s">
        <v>37</v>
      </c>
      <c r="C20" t="s">
        <v>558</v>
      </c>
      <c r="D20">
        <v>0.08</v>
      </c>
      <c r="E20" t="s">
        <v>710</v>
      </c>
      <c r="H20">
        <v>2019</v>
      </c>
      <c r="I20" t="s">
        <v>162</v>
      </c>
      <c r="K20" s="6">
        <v>39139.9993896484</v>
      </c>
      <c r="M20" t="str">
        <f t="shared" si="0"/>
        <v>Bulgaria</v>
      </c>
      <c r="N20" t="s">
        <v>254</v>
      </c>
      <c r="O20" s="7">
        <f t="shared" si="1"/>
        <v>-39.1399993896484</v>
      </c>
      <c r="P20">
        <v>3</v>
      </c>
      <c r="Q20" t="s">
        <v>422</v>
      </c>
      <c r="S20" t="str">
        <f t="shared" si="2"/>
        <v>Bulgaria</v>
      </c>
      <c r="T20" t="s">
        <v>254</v>
      </c>
      <c r="U20" s="7">
        <f t="shared" si="3"/>
        <v>-26.0933329264323</v>
      </c>
      <c r="V20">
        <v>3</v>
      </c>
      <c r="W20" t="s">
        <v>709</v>
      </c>
    </row>
    <row r="21" spans="2:23">
      <c r="B21" t="s">
        <v>228</v>
      </c>
      <c r="C21" t="s">
        <v>558</v>
      </c>
      <c r="D21">
        <v>0.08</v>
      </c>
      <c r="E21" t="s">
        <v>710</v>
      </c>
      <c r="H21">
        <v>2019</v>
      </c>
      <c r="I21" t="s">
        <v>163</v>
      </c>
      <c r="K21" s="6">
        <v>9430.00030517578</v>
      </c>
      <c r="M21" t="str">
        <f t="shared" si="0"/>
        <v>Cameroon</v>
      </c>
      <c r="N21" t="s">
        <v>254</v>
      </c>
      <c r="O21" s="7">
        <f t="shared" si="1"/>
        <v>-9.43000030517578</v>
      </c>
      <c r="P21">
        <v>3</v>
      </c>
      <c r="Q21" t="s">
        <v>422</v>
      </c>
      <c r="S21" t="str">
        <f t="shared" si="2"/>
        <v>Cameroon</v>
      </c>
      <c r="T21" t="s">
        <v>254</v>
      </c>
      <c r="U21" s="7">
        <f t="shared" si="3"/>
        <v>-6.28666687011719</v>
      </c>
      <c r="V21">
        <v>3</v>
      </c>
      <c r="W21" t="s">
        <v>709</v>
      </c>
    </row>
    <row r="22" spans="2:23">
      <c r="B22" t="s">
        <v>227</v>
      </c>
      <c r="C22" t="s">
        <v>558</v>
      </c>
      <c r="D22">
        <v>0.08</v>
      </c>
      <c r="E22" t="s">
        <v>710</v>
      </c>
      <c r="H22">
        <v>2019</v>
      </c>
      <c r="I22" t="s">
        <v>164</v>
      </c>
      <c r="K22" s="6">
        <v>580210.021972656</v>
      </c>
      <c r="M22" t="str">
        <f t="shared" si="0"/>
        <v>Canada</v>
      </c>
      <c r="N22" t="s">
        <v>254</v>
      </c>
      <c r="O22" s="7">
        <f t="shared" si="1"/>
        <v>-580.210021972656</v>
      </c>
      <c r="P22">
        <v>3</v>
      </c>
      <c r="Q22" t="s">
        <v>422</v>
      </c>
      <c r="S22" t="str">
        <f t="shared" si="2"/>
        <v>Canada</v>
      </c>
      <c r="T22" t="s">
        <v>254</v>
      </c>
      <c r="U22" s="7">
        <f t="shared" si="3"/>
        <v>-386.806681315104</v>
      </c>
      <c r="V22">
        <v>3</v>
      </c>
      <c r="W22" t="s">
        <v>709</v>
      </c>
    </row>
    <row r="23" spans="2:23">
      <c r="B23" t="s">
        <v>226</v>
      </c>
      <c r="C23" t="s">
        <v>558</v>
      </c>
      <c r="D23">
        <v>0.08</v>
      </c>
      <c r="E23" t="s">
        <v>710</v>
      </c>
      <c r="H23">
        <v>2019</v>
      </c>
      <c r="I23" t="s">
        <v>713</v>
      </c>
      <c r="K23" s="6">
        <v>268789.999395609</v>
      </c>
      <c r="M23" t="str">
        <f t="shared" si="0"/>
        <v>Central_Europe</v>
      </c>
      <c r="N23" t="s">
        <v>254</v>
      </c>
      <c r="O23" s="7">
        <f t="shared" si="1"/>
        <v>-268.789999395609</v>
      </c>
      <c r="P23">
        <v>3</v>
      </c>
      <c r="Q23" t="s">
        <v>422</v>
      </c>
      <c r="S23" t="str">
        <f t="shared" si="2"/>
        <v>Central_Europe</v>
      </c>
      <c r="T23" t="s">
        <v>254</v>
      </c>
      <c r="U23" s="7">
        <f t="shared" si="3"/>
        <v>-179.193332930406</v>
      </c>
      <c r="V23">
        <v>3</v>
      </c>
      <c r="W23" t="s">
        <v>709</v>
      </c>
    </row>
    <row r="24" spans="2:23">
      <c r="B24" t="s">
        <v>225</v>
      </c>
      <c r="C24" t="s">
        <v>558</v>
      </c>
      <c r="D24">
        <v>0.1</v>
      </c>
      <c r="E24" t="s">
        <v>710</v>
      </c>
      <c r="H24">
        <v>2019</v>
      </c>
      <c r="I24" t="s">
        <v>165</v>
      </c>
      <c r="K24" s="6">
        <v>91370.002746582</v>
      </c>
      <c r="M24" t="str">
        <f t="shared" si="0"/>
        <v>Chile</v>
      </c>
      <c r="N24" t="s">
        <v>254</v>
      </c>
      <c r="O24" s="7">
        <f t="shared" si="1"/>
        <v>-91.370002746582</v>
      </c>
      <c r="P24">
        <v>3</v>
      </c>
      <c r="Q24" t="s">
        <v>422</v>
      </c>
      <c r="S24" t="str">
        <f t="shared" si="2"/>
        <v>Chile</v>
      </c>
      <c r="T24" t="s">
        <v>254</v>
      </c>
      <c r="U24" s="7">
        <f t="shared" si="3"/>
        <v>-60.913335164388</v>
      </c>
      <c r="V24">
        <v>3</v>
      </c>
      <c r="W24" t="s">
        <v>709</v>
      </c>
    </row>
    <row r="25" s="5" customFormat="1" spans="2:23">
      <c r="B25" s="5" t="s">
        <v>34</v>
      </c>
      <c r="C25" s="5" t="s">
        <v>558</v>
      </c>
      <c r="D25" s="5">
        <v>0.08</v>
      </c>
      <c r="E25" s="5" t="s">
        <v>710</v>
      </c>
      <c r="H25" s="5">
        <v>2019</v>
      </c>
      <c r="I25" s="5" t="s">
        <v>14</v>
      </c>
      <c r="K25" s="8">
        <v>10707219.7265625</v>
      </c>
      <c r="M25" s="5" t="str">
        <f t="shared" si="0"/>
        <v>China</v>
      </c>
      <c r="N25" s="5" t="s">
        <v>254</v>
      </c>
      <c r="O25" s="9">
        <f t="shared" si="1"/>
        <v>-10707.2197265625</v>
      </c>
      <c r="P25" s="5">
        <v>3</v>
      </c>
      <c r="Q25" s="5" t="s">
        <v>422</v>
      </c>
      <c r="S25" s="5" t="str">
        <f t="shared" si="2"/>
        <v>China</v>
      </c>
      <c r="T25" s="5" t="s">
        <v>254</v>
      </c>
      <c r="U25" s="9">
        <f t="shared" si="3"/>
        <v>-7138.146484375</v>
      </c>
      <c r="V25" s="5">
        <v>3</v>
      </c>
      <c r="W25" s="5" t="s">
        <v>709</v>
      </c>
    </row>
    <row r="26" spans="2:23">
      <c r="B26" t="s">
        <v>224</v>
      </c>
      <c r="C26" t="s">
        <v>558</v>
      </c>
      <c r="D26">
        <v>0.08</v>
      </c>
      <c r="E26" t="s">
        <v>710</v>
      </c>
      <c r="H26">
        <v>2019</v>
      </c>
      <c r="I26" t="s">
        <v>714</v>
      </c>
      <c r="K26" s="6">
        <v>10707219.7265625</v>
      </c>
      <c r="M26" t="str">
        <f t="shared" si="0"/>
        <v>China_d</v>
      </c>
      <c r="N26" t="s">
        <v>254</v>
      </c>
      <c r="O26" s="7">
        <f t="shared" si="1"/>
        <v>-10707.2197265625</v>
      </c>
      <c r="P26">
        <v>3</v>
      </c>
      <c r="Q26" t="s">
        <v>422</v>
      </c>
      <c r="S26" t="str">
        <f t="shared" si="2"/>
        <v>China_d</v>
      </c>
      <c r="T26" t="s">
        <v>254</v>
      </c>
      <c r="U26" s="7">
        <f t="shared" si="3"/>
        <v>-7138.146484375</v>
      </c>
      <c r="V26">
        <v>3</v>
      </c>
      <c r="W26" t="s">
        <v>709</v>
      </c>
    </row>
    <row r="27" spans="2:23">
      <c r="B27" t="s">
        <v>223</v>
      </c>
      <c r="C27" t="s">
        <v>558</v>
      </c>
      <c r="D27">
        <v>0.08</v>
      </c>
      <c r="E27" t="s">
        <v>710</v>
      </c>
      <c r="H27">
        <v>2019</v>
      </c>
      <c r="I27" t="s">
        <v>166</v>
      </c>
      <c r="K27" s="6">
        <v>81040.0009155273</v>
      </c>
      <c r="M27" t="str">
        <f t="shared" si="0"/>
        <v>Colombia</v>
      </c>
      <c r="N27" t="s">
        <v>254</v>
      </c>
      <c r="O27" s="7">
        <f t="shared" si="1"/>
        <v>-81.0400009155273</v>
      </c>
      <c r="P27">
        <v>3</v>
      </c>
      <c r="Q27" t="s">
        <v>422</v>
      </c>
      <c r="S27" t="str">
        <f t="shared" si="2"/>
        <v>Colombia</v>
      </c>
      <c r="T27" t="s">
        <v>254</v>
      </c>
      <c r="U27" s="7">
        <f t="shared" si="3"/>
        <v>-54.0266672770182</v>
      </c>
      <c r="V27">
        <v>3</v>
      </c>
      <c r="W27" t="s">
        <v>709</v>
      </c>
    </row>
    <row r="28" spans="2:23">
      <c r="B28" t="s">
        <v>222</v>
      </c>
      <c r="C28" t="s">
        <v>558</v>
      </c>
      <c r="D28">
        <v>0.1</v>
      </c>
      <c r="E28" t="s">
        <v>710</v>
      </c>
      <c r="H28">
        <v>2019</v>
      </c>
      <c r="I28" t="s">
        <v>167</v>
      </c>
      <c r="K28" s="6">
        <v>16520.0004577637</v>
      </c>
      <c r="M28" t="str">
        <f t="shared" si="0"/>
        <v>Croatia</v>
      </c>
      <c r="N28" t="s">
        <v>254</v>
      </c>
      <c r="O28" s="7">
        <f t="shared" si="1"/>
        <v>-16.5200004577637</v>
      </c>
      <c r="P28">
        <v>3</v>
      </c>
      <c r="Q28" t="s">
        <v>422</v>
      </c>
      <c r="S28" t="str">
        <f t="shared" si="2"/>
        <v>Croatia</v>
      </c>
      <c r="T28" t="s">
        <v>254</v>
      </c>
      <c r="U28" s="7">
        <f t="shared" si="3"/>
        <v>-11.0133336385091</v>
      </c>
      <c r="V28">
        <v>3</v>
      </c>
      <c r="W28" t="s">
        <v>709</v>
      </c>
    </row>
    <row r="29" spans="2:23">
      <c r="B29" t="s">
        <v>221</v>
      </c>
      <c r="C29" t="s">
        <v>558</v>
      </c>
      <c r="D29">
        <v>0.0375</v>
      </c>
      <c r="E29" t="s">
        <v>710</v>
      </c>
      <c r="H29">
        <v>2019</v>
      </c>
      <c r="I29" t="s">
        <v>168</v>
      </c>
      <c r="K29" s="6">
        <v>7190.00005722046</v>
      </c>
      <c r="M29" t="str">
        <f t="shared" si="0"/>
        <v>Cyprus</v>
      </c>
      <c r="N29" t="s">
        <v>254</v>
      </c>
      <c r="O29" s="7">
        <f t="shared" si="1"/>
        <v>-7.19000005722046</v>
      </c>
      <c r="P29">
        <v>3</v>
      </c>
      <c r="Q29" t="s">
        <v>422</v>
      </c>
      <c r="S29" t="str">
        <f t="shared" si="2"/>
        <v>Cyprus</v>
      </c>
      <c r="T29" t="s">
        <v>254</v>
      </c>
      <c r="U29" s="7">
        <f t="shared" si="3"/>
        <v>-4.79333337148031</v>
      </c>
      <c r="V29">
        <v>3</v>
      </c>
      <c r="W29" t="s">
        <v>709</v>
      </c>
    </row>
    <row r="30" spans="2:23">
      <c r="B30" t="s">
        <v>33</v>
      </c>
      <c r="C30" t="s">
        <v>558</v>
      </c>
      <c r="D30">
        <v>0.01</v>
      </c>
      <c r="E30" t="s">
        <v>710</v>
      </c>
      <c r="H30">
        <v>2019</v>
      </c>
      <c r="I30" t="s">
        <v>169</v>
      </c>
      <c r="K30" s="6">
        <v>96290.0009155273</v>
      </c>
      <c r="M30" t="str">
        <f t="shared" si="0"/>
        <v>Czech</v>
      </c>
      <c r="N30" t="s">
        <v>254</v>
      </c>
      <c r="O30" s="7">
        <f t="shared" si="1"/>
        <v>-96.2900009155273</v>
      </c>
      <c r="P30">
        <v>3</v>
      </c>
      <c r="Q30" t="s">
        <v>422</v>
      </c>
      <c r="S30" t="str">
        <f t="shared" si="2"/>
        <v>Czech</v>
      </c>
      <c r="T30" t="s">
        <v>254</v>
      </c>
      <c r="U30" s="7">
        <f t="shared" si="3"/>
        <v>-64.1933339436849</v>
      </c>
      <c r="V30">
        <v>3</v>
      </c>
      <c r="W30" t="s">
        <v>709</v>
      </c>
    </row>
    <row r="31" spans="2:23">
      <c r="B31" t="s">
        <v>32</v>
      </c>
      <c r="C31" t="s">
        <v>558</v>
      </c>
      <c r="D31">
        <v>0.05</v>
      </c>
      <c r="E31" t="s">
        <v>710</v>
      </c>
      <c r="H31">
        <v>2019</v>
      </c>
      <c r="I31" t="s">
        <v>170</v>
      </c>
      <c r="K31" s="6">
        <v>29700.0007629395</v>
      </c>
      <c r="M31" t="str">
        <f t="shared" si="0"/>
        <v>Denmark</v>
      </c>
      <c r="N31" t="s">
        <v>254</v>
      </c>
      <c r="O31" s="7">
        <f t="shared" si="1"/>
        <v>-29.7000007629395</v>
      </c>
      <c r="P31">
        <v>3</v>
      </c>
      <c r="Q31" t="s">
        <v>422</v>
      </c>
      <c r="S31" t="str">
        <f t="shared" si="2"/>
        <v>Denmark</v>
      </c>
      <c r="T31" t="s">
        <v>254</v>
      </c>
      <c r="U31" s="7">
        <f t="shared" si="3"/>
        <v>-19.8000005086263</v>
      </c>
      <c r="V31">
        <v>3</v>
      </c>
      <c r="W31" t="s">
        <v>709</v>
      </c>
    </row>
    <row r="32" spans="2:23">
      <c r="B32" t="s">
        <v>220</v>
      </c>
      <c r="C32" t="s">
        <v>558</v>
      </c>
      <c r="D32">
        <v>0.08</v>
      </c>
      <c r="E32" t="s">
        <v>710</v>
      </c>
      <c r="H32">
        <v>2019</v>
      </c>
      <c r="I32" t="s">
        <v>171</v>
      </c>
      <c r="K32" s="6">
        <v>3210.00003814697</v>
      </c>
      <c r="M32" t="str">
        <f t="shared" si="0"/>
        <v>DR_Congo</v>
      </c>
      <c r="N32" t="s">
        <v>254</v>
      </c>
      <c r="O32" s="7">
        <f t="shared" si="1"/>
        <v>-3.21000003814697</v>
      </c>
      <c r="P32">
        <v>3</v>
      </c>
      <c r="Q32" t="s">
        <v>422</v>
      </c>
      <c r="S32" t="str">
        <f t="shared" si="2"/>
        <v>DR_Congo</v>
      </c>
      <c r="T32" t="s">
        <v>254</v>
      </c>
      <c r="U32" s="7">
        <f t="shared" si="3"/>
        <v>-2.14000002543131</v>
      </c>
      <c r="V32">
        <v>3</v>
      </c>
      <c r="W32" t="s">
        <v>709</v>
      </c>
    </row>
    <row r="33" spans="2:23">
      <c r="B33" t="s">
        <v>219</v>
      </c>
      <c r="C33" t="s">
        <v>558</v>
      </c>
      <c r="D33">
        <v>0.01</v>
      </c>
      <c r="E33" t="s">
        <v>710</v>
      </c>
      <c r="H33">
        <v>2019</v>
      </c>
      <c r="I33" t="s">
        <v>172</v>
      </c>
      <c r="K33" s="6">
        <v>249369.995117188</v>
      </c>
      <c r="M33" t="str">
        <f t="shared" si="0"/>
        <v>Egypt</v>
      </c>
      <c r="N33" t="s">
        <v>254</v>
      </c>
      <c r="O33" s="7">
        <f t="shared" si="1"/>
        <v>-249.369995117188</v>
      </c>
      <c r="P33">
        <v>3</v>
      </c>
      <c r="Q33" t="s">
        <v>422</v>
      </c>
      <c r="S33" t="str">
        <f t="shared" si="2"/>
        <v>Egypt</v>
      </c>
      <c r="T33" t="s">
        <v>254</v>
      </c>
      <c r="U33" s="7">
        <f t="shared" si="3"/>
        <v>-166.246663411459</v>
      </c>
      <c r="V33">
        <v>3</v>
      </c>
      <c r="W33" t="s">
        <v>709</v>
      </c>
    </row>
    <row r="34" spans="2:23">
      <c r="B34" t="s">
        <v>218</v>
      </c>
      <c r="C34" t="s">
        <v>558</v>
      </c>
      <c r="D34">
        <v>0.08</v>
      </c>
      <c r="E34" t="s">
        <v>710</v>
      </c>
      <c r="H34">
        <v>2019</v>
      </c>
      <c r="I34" t="s">
        <v>715</v>
      </c>
      <c r="K34" s="6">
        <v>384459.993362427</v>
      </c>
      <c r="M34" t="str">
        <f t="shared" si="0"/>
        <v>EIJLLPST</v>
      </c>
      <c r="N34" t="s">
        <v>254</v>
      </c>
      <c r="O34" s="7">
        <f t="shared" si="1"/>
        <v>-384.459993362427</v>
      </c>
      <c r="P34">
        <v>3</v>
      </c>
      <c r="Q34" t="s">
        <v>422</v>
      </c>
      <c r="S34" t="str">
        <f t="shared" si="2"/>
        <v>EIJLLPST</v>
      </c>
      <c r="T34" t="s">
        <v>254</v>
      </c>
      <c r="U34" s="7">
        <f t="shared" si="3"/>
        <v>-256.306662241618</v>
      </c>
      <c r="V34">
        <v>3</v>
      </c>
      <c r="W34" t="s">
        <v>709</v>
      </c>
    </row>
    <row r="35" spans="2:23">
      <c r="B35" t="s">
        <v>30</v>
      </c>
      <c r="C35" t="s">
        <v>558</v>
      </c>
      <c r="D35">
        <v>0.08</v>
      </c>
      <c r="E35" t="s">
        <v>710</v>
      </c>
      <c r="H35">
        <v>2019</v>
      </c>
      <c r="I35" t="s">
        <v>173</v>
      </c>
      <c r="K35" s="6">
        <v>10180.0003051758</v>
      </c>
      <c r="M35" t="str">
        <f t="shared" si="0"/>
        <v>Estonia</v>
      </c>
      <c r="N35" t="s">
        <v>254</v>
      </c>
      <c r="O35" s="7">
        <f t="shared" si="1"/>
        <v>-10.1800003051758</v>
      </c>
      <c r="P35">
        <v>3</v>
      </c>
      <c r="Q35" t="s">
        <v>422</v>
      </c>
      <c r="S35" t="str">
        <f t="shared" si="2"/>
        <v>Estonia</v>
      </c>
      <c r="T35" t="s">
        <v>254</v>
      </c>
      <c r="U35" s="7">
        <f t="shared" si="3"/>
        <v>-6.7866668701172</v>
      </c>
      <c r="V35">
        <v>3</v>
      </c>
      <c r="W35" t="s">
        <v>709</v>
      </c>
    </row>
    <row r="36" spans="2:23">
      <c r="B36" t="s">
        <v>217</v>
      </c>
      <c r="C36" t="s">
        <v>558</v>
      </c>
      <c r="D36">
        <v>0.05</v>
      </c>
      <c r="E36" t="s">
        <v>710</v>
      </c>
      <c r="H36">
        <v>2019</v>
      </c>
      <c r="I36" t="s">
        <v>174</v>
      </c>
      <c r="K36" s="6">
        <v>18360.0006103516</v>
      </c>
      <c r="M36" t="str">
        <f t="shared" si="0"/>
        <v>Ethiopia</v>
      </c>
      <c r="N36" t="s">
        <v>254</v>
      </c>
      <c r="O36" s="7">
        <f t="shared" si="1"/>
        <v>-18.3600006103516</v>
      </c>
      <c r="P36">
        <v>3</v>
      </c>
      <c r="Q36" t="s">
        <v>422</v>
      </c>
      <c r="S36" t="str">
        <f t="shared" si="2"/>
        <v>Ethiopia</v>
      </c>
      <c r="T36" t="s">
        <v>254</v>
      </c>
      <c r="U36" s="7">
        <f t="shared" si="3"/>
        <v>-12.2400004069011</v>
      </c>
      <c r="V36">
        <v>3</v>
      </c>
      <c r="W36" t="s">
        <v>709</v>
      </c>
    </row>
    <row r="37" spans="2:23">
      <c r="B37" t="s">
        <v>216</v>
      </c>
      <c r="C37" t="s">
        <v>558</v>
      </c>
      <c r="D37">
        <v>0.0375</v>
      </c>
      <c r="E37" t="s">
        <v>710</v>
      </c>
      <c r="H37">
        <v>2019</v>
      </c>
      <c r="I37" t="s">
        <v>175</v>
      </c>
      <c r="K37" s="6">
        <v>40709.9990844727</v>
      </c>
      <c r="M37" t="str">
        <f t="shared" si="0"/>
        <v>Finland</v>
      </c>
      <c r="N37" t="s">
        <v>254</v>
      </c>
      <c r="O37" s="7">
        <f t="shared" si="1"/>
        <v>-40.7099990844727</v>
      </c>
      <c r="P37">
        <v>3</v>
      </c>
      <c r="Q37" t="s">
        <v>422</v>
      </c>
      <c r="S37" t="str">
        <f t="shared" si="2"/>
        <v>Finland</v>
      </c>
      <c r="T37" t="s">
        <v>254</v>
      </c>
      <c r="U37" s="7">
        <f t="shared" si="3"/>
        <v>-27.1399993896485</v>
      </c>
      <c r="V37">
        <v>3</v>
      </c>
      <c r="W37" t="s">
        <v>709</v>
      </c>
    </row>
    <row r="38" spans="2:23">
      <c r="B38" t="s">
        <v>215</v>
      </c>
      <c r="C38" t="s">
        <v>558</v>
      </c>
      <c r="D38">
        <v>0.05</v>
      </c>
      <c r="E38" t="s">
        <v>710</v>
      </c>
      <c r="H38">
        <v>2019</v>
      </c>
      <c r="I38" t="s">
        <v>17</v>
      </c>
      <c r="K38" s="6">
        <v>300519.989013672</v>
      </c>
      <c r="M38" t="str">
        <f t="shared" si="0"/>
        <v>France</v>
      </c>
      <c r="N38" t="s">
        <v>254</v>
      </c>
      <c r="O38" s="7">
        <f t="shared" si="1"/>
        <v>-300.519989013672</v>
      </c>
      <c r="P38">
        <v>3</v>
      </c>
      <c r="Q38" t="s">
        <v>422</v>
      </c>
      <c r="S38" t="str">
        <f t="shared" si="2"/>
        <v>France</v>
      </c>
      <c r="T38" t="s">
        <v>254</v>
      </c>
      <c r="U38" s="7">
        <f t="shared" si="3"/>
        <v>-200.346659342448</v>
      </c>
      <c r="V38">
        <v>3</v>
      </c>
      <c r="W38" t="s">
        <v>709</v>
      </c>
    </row>
    <row r="39" spans="2:23">
      <c r="B39" t="s">
        <v>214</v>
      </c>
      <c r="C39" t="s">
        <v>558</v>
      </c>
      <c r="D39">
        <v>0.01</v>
      </c>
      <c r="E39" t="s">
        <v>710</v>
      </c>
      <c r="H39">
        <v>2019</v>
      </c>
      <c r="I39" t="s">
        <v>716</v>
      </c>
      <c r="K39" s="6">
        <v>549359.987258912</v>
      </c>
      <c r="M39" t="str">
        <f t="shared" si="0"/>
        <v>France_Benelux</v>
      </c>
      <c r="N39" t="s">
        <v>254</v>
      </c>
      <c r="O39" s="7">
        <f t="shared" si="1"/>
        <v>-549.359987258912</v>
      </c>
      <c r="P39">
        <v>3</v>
      </c>
      <c r="Q39" t="s">
        <v>422</v>
      </c>
      <c r="S39" t="str">
        <f t="shared" si="2"/>
        <v>France_Benelux</v>
      </c>
      <c r="T39" t="s">
        <v>254</v>
      </c>
      <c r="U39" s="7">
        <f t="shared" si="3"/>
        <v>-366.239991505941</v>
      </c>
      <c r="V39">
        <v>3</v>
      </c>
      <c r="W39" t="s">
        <v>709</v>
      </c>
    </row>
    <row r="40" spans="2:23">
      <c r="B40" t="s">
        <v>213</v>
      </c>
      <c r="C40" t="s">
        <v>558</v>
      </c>
      <c r="D40">
        <v>0.0375</v>
      </c>
      <c r="E40" t="s">
        <v>710</v>
      </c>
      <c r="H40">
        <v>2019</v>
      </c>
      <c r="I40" t="s">
        <v>717</v>
      </c>
      <c r="K40" s="6">
        <v>1017650.03013611</v>
      </c>
      <c r="M40" t="str">
        <f t="shared" si="0"/>
        <v>GCC</v>
      </c>
      <c r="N40" t="s">
        <v>254</v>
      </c>
      <c r="O40" s="7">
        <f t="shared" si="1"/>
        <v>-1017.65003013611</v>
      </c>
      <c r="P40">
        <v>3</v>
      </c>
      <c r="Q40" t="s">
        <v>422</v>
      </c>
      <c r="S40" t="str">
        <f t="shared" si="2"/>
        <v>GCC</v>
      </c>
      <c r="T40" t="s">
        <v>254</v>
      </c>
      <c r="U40" s="7">
        <f t="shared" si="3"/>
        <v>-678.433353424073</v>
      </c>
      <c r="V40">
        <v>3</v>
      </c>
      <c r="W40" t="s">
        <v>709</v>
      </c>
    </row>
    <row r="41" spans="2:23">
      <c r="B41" t="s">
        <v>212</v>
      </c>
      <c r="C41" t="s">
        <v>558</v>
      </c>
      <c r="D41">
        <v>0.08</v>
      </c>
      <c r="E41" t="s">
        <v>710</v>
      </c>
      <c r="H41">
        <v>2019</v>
      </c>
      <c r="I41" t="s">
        <v>176</v>
      </c>
      <c r="K41" s="6">
        <v>10109.9996566772</v>
      </c>
      <c r="M41" t="str">
        <f t="shared" si="0"/>
        <v>Georgia</v>
      </c>
      <c r="N41" t="s">
        <v>254</v>
      </c>
      <c r="O41" s="7">
        <f t="shared" si="1"/>
        <v>-10.1099996566772</v>
      </c>
      <c r="P41">
        <v>3</v>
      </c>
      <c r="Q41" t="s">
        <v>422</v>
      </c>
      <c r="S41" t="str">
        <f t="shared" si="2"/>
        <v>Georgia</v>
      </c>
      <c r="T41" t="s">
        <v>254</v>
      </c>
      <c r="U41" s="7">
        <f t="shared" si="3"/>
        <v>-6.73999977111813</v>
      </c>
      <c r="V41">
        <v>3</v>
      </c>
      <c r="W41" t="s">
        <v>709</v>
      </c>
    </row>
    <row r="42" spans="2:23">
      <c r="B42" t="s">
        <v>211</v>
      </c>
      <c r="C42" t="s">
        <v>558</v>
      </c>
      <c r="D42">
        <v>0.05</v>
      </c>
      <c r="E42" t="s">
        <v>710</v>
      </c>
      <c r="H42">
        <v>2019</v>
      </c>
      <c r="I42" t="s">
        <v>18</v>
      </c>
      <c r="K42" s="6">
        <v>657400.024414063</v>
      </c>
      <c r="M42" t="str">
        <f t="shared" si="0"/>
        <v>Germany</v>
      </c>
      <c r="N42" t="s">
        <v>254</v>
      </c>
      <c r="O42" s="7">
        <f t="shared" si="1"/>
        <v>-657.400024414063</v>
      </c>
      <c r="P42">
        <v>3</v>
      </c>
      <c r="Q42" t="s">
        <v>422</v>
      </c>
      <c r="S42" t="str">
        <f t="shared" si="2"/>
        <v>Germany</v>
      </c>
      <c r="T42" t="s">
        <v>254</v>
      </c>
      <c r="U42" s="7">
        <f t="shared" si="3"/>
        <v>-438.266682942709</v>
      </c>
      <c r="V42">
        <v>3</v>
      </c>
      <c r="W42" t="s">
        <v>709</v>
      </c>
    </row>
    <row r="43" spans="2:23">
      <c r="B43" t="s">
        <v>210</v>
      </c>
      <c r="C43" t="s">
        <v>558</v>
      </c>
      <c r="D43">
        <v>0.08</v>
      </c>
      <c r="E43" t="s">
        <v>710</v>
      </c>
      <c r="H43">
        <v>2019</v>
      </c>
      <c r="I43" t="s">
        <v>718</v>
      </c>
      <c r="K43" s="6">
        <v>687100.025177002</v>
      </c>
      <c r="M43" t="str">
        <f t="shared" si="0"/>
        <v>Germany_Denmark</v>
      </c>
      <c r="N43" t="s">
        <v>254</v>
      </c>
      <c r="O43" s="7">
        <f t="shared" si="1"/>
        <v>-687.100025177002</v>
      </c>
      <c r="P43">
        <v>3</v>
      </c>
      <c r="Q43" t="s">
        <v>422</v>
      </c>
      <c r="S43" t="str">
        <f t="shared" si="2"/>
        <v>Germany_Denmark</v>
      </c>
      <c r="T43" t="s">
        <v>254</v>
      </c>
      <c r="U43" s="7">
        <f t="shared" si="3"/>
        <v>-458.066683451335</v>
      </c>
      <c r="V43">
        <v>3</v>
      </c>
      <c r="W43" t="s">
        <v>709</v>
      </c>
    </row>
    <row r="44" spans="2:23">
      <c r="B44" t="s">
        <v>209</v>
      </c>
      <c r="C44" t="s">
        <v>558</v>
      </c>
      <c r="D44">
        <v>0.01</v>
      </c>
      <c r="E44" t="s">
        <v>710</v>
      </c>
      <c r="H44">
        <v>2019</v>
      </c>
      <c r="I44" t="s">
        <v>177</v>
      </c>
      <c r="K44" s="6">
        <v>20040.0009155273</v>
      </c>
      <c r="M44" t="str">
        <f t="shared" si="0"/>
        <v>Ghana</v>
      </c>
      <c r="N44" t="s">
        <v>254</v>
      </c>
      <c r="O44" s="7">
        <f t="shared" si="1"/>
        <v>-20.0400009155273</v>
      </c>
      <c r="P44">
        <v>3</v>
      </c>
      <c r="Q44" t="s">
        <v>422</v>
      </c>
      <c r="S44" t="str">
        <f t="shared" si="2"/>
        <v>Ghana</v>
      </c>
      <c r="T44" t="s">
        <v>254</v>
      </c>
      <c r="U44" s="7">
        <f t="shared" si="3"/>
        <v>-13.3600006103515</v>
      </c>
      <c r="V44">
        <v>3</v>
      </c>
      <c r="W44" t="s">
        <v>709</v>
      </c>
    </row>
    <row r="45" spans="2:23">
      <c r="B45" t="s">
        <v>29</v>
      </c>
      <c r="C45" t="s">
        <v>558</v>
      </c>
      <c r="D45">
        <v>0.08</v>
      </c>
      <c r="E45" t="s">
        <v>710</v>
      </c>
      <c r="H45">
        <v>2019</v>
      </c>
      <c r="I45" t="s">
        <v>719</v>
      </c>
      <c r="K45" s="6">
        <v>348920.013427734</v>
      </c>
      <c r="M45" t="str">
        <f t="shared" si="0"/>
        <v>Great_Britain</v>
      </c>
      <c r="N45" t="s">
        <v>254</v>
      </c>
      <c r="O45" s="7">
        <f t="shared" si="1"/>
        <v>-348.920013427734</v>
      </c>
      <c r="P45">
        <v>3</v>
      </c>
      <c r="Q45" t="s">
        <v>422</v>
      </c>
      <c r="S45" t="str">
        <f t="shared" si="2"/>
        <v>Great_Britain</v>
      </c>
      <c r="T45" t="s">
        <v>254</v>
      </c>
      <c r="U45" s="7">
        <f t="shared" si="3"/>
        <v>-232.613342285156</v>
      </c>
      <c r="V45">
        <v>3</v>
      </c>
      <c r="W45" t="s">
        <v>709</v>
      </c>
    </row>
    <row r="46" spans="2:23">
      <c r="B46" t="s">
        <v>208</v>
      </c>
      <c r="C46" t="s">
        <v>558</v>
      </c>
      <c r="D46">
        <v>0.08</v>
      </c>
      <c r="E46" t="s">
        <v>710</v>
      </c>
      <c r="H46">
        <v>2019</v>
      </c>
      <c r="I46" t="s">
        <v>178</v>
      </c>
      <c r="K46" s="6">
        <v>60000</v>
      </c>
      <c r="M46" t="str">
        <f t="shared" si="0"/>
        <v>Greece</v>
      </c>
      <c r="N46" t="s">
        <v>254</v>
      </c>
      <c r="O46" s="7">
        <f t="shared" si="1"/>
        <v>-60</v>
      </c>
      <c r="P46">
        <v>3</v>
      </c>
      <c r="Q46" t="s">
        <v>422</v>
      </c>
      <c r="S46" t="str">
        <f t="shared" si="2"/>
        <v>Greece</v>
      </c>
      <c r="T46" t="s">
        <v>254</v>
      </c>
      <c r="U46" s="7">
        <f t="shared" si="3"/>
        <v>-40</v>
      </c>
      <c r="V46">
        <v>3</v>
      </c>
      <c r="W46" t="s">
        <v>709</v>
      </c>
    </row>
    <row r="47" spans="2:23">
      <c r="B47" t="s">
        <v>207</v>
      </c>
      <c r="C47" t="s">
        <v>558</v>
      </c>
      <c r="D47">
        <v>0.08</v>
      </c>
      <c r="E47" t="s">
        <v>710</v>
      </c>
      <c r="H47">
        <v>2019</v>
      </c>
      <c r="I47" t="s">
        <v>179</v>
      </c>
      <c r="K47" s="6">
        <v>46380.0010681152</v>
      </c>
      <c r="M47" t="str">
        <f t="shared" si="0"/>
        <v>Hungary</v>
      </c>
      <c r="N47" t="s">
        <v>254</v>
      </c>
      <c r="O47" s="7">
        <f t="shared" ref="O47:O109" si="4">-K47/1000</f>
        <v>-46.3800010681152</v>
      </c>
      <c r="P47">
        <v>3</v>
      </c>
      <c r="Q47" t="s">
        <v>422</v>
      </c>
      <c r="S47" t="str">
        <f t="shared" si="2"/>
        <v>Hungary</v>
      </c>
      <c r="T47" t="s">
        <v>254</v>
      </c>
      <c r="U47" s="7">
        <f t="shared" ref="U47:U109" si="5">-K47/1000*2/3</f>
        <v>-30.9200007120768</v>
      </c>
      <c r="V47">
        <v>3</v>
      </c>
      <c r="W47" t="s">
        <v>709</v>
      </c>
    </row>
    <row r="48" spans="2:23">
      <c r="B48" t="s">
        <v>206</v>
      </c>
      <c r="C48" t="s">
        <v>558</v>
      </c>
      <c r="D48">
        <v>0.1</v>
      </c>
      <c r="E48" t="s">
        <v>710</v>
      </c>
      <c r="H48">
        <v>2019</v>
      </c>
      <c r="I48" t="s">
        <v>720</v>
      </c>
      <c r="K48" s="6">
        <v>285119.995117187</v>
      </c>
      <c r="M48" t="str">
        <f t="shared" si="0"/>
        <v>Iberia</v>
      </c>
      <c r="N48" t="s">
        <v>254</v>
      </c>
      <c r="O48" s="7">
        <f t="shared" si="4"/>
        <v>-285.119995117187</v>
      </c>
      <c r="P48">
        <v>3</v>
      </c>
      <c r="Q48" t="s">
        <v>422</v>
      </c>
      <c r="S48" t="str">
        <f t="shared" si="2"/>
        <v>Iberia</v>
      </c>
      <c r="T48" t="s">
        <v>254</v>
      </c>
      <c r="U48" s="7">
        <f t="shared" si="5"/>
        <v>-190.079996744791</v>
      </c>
      <c r="V48">
        <v>3</v>
      </c>
      <c r="W48" t="s">
        <v>709</v>
      </c>
    </row>
    <row r="49" spans="2:23">
      <c r="B49" t="s">
        <v>205</v>
      </c>
      <c r="C49" t="s">
        <v>558</v>
      </c>
      <c r="D49">
        <v>0.08</v>
      </c>
      <c r="E49" t="s">
        <v>710</v>
      </c>
      <c r="H49">
        <v>2019</v>
      </c>
      <c r="I49" t="s">
        <v>21</v>
      </c>
      <c r="K49" s="6">
        <v>1639.99998569489</v>
      </c>
      <c r="M49" t="str">
        <f t="shared" si="0"/>
        <v>Iceland</v>
      </c>
      <c r="N49" t="s">
        <v>254</v>
      </c>
      <c r="O49" s="7">
        <f t="shared" si="4"/>
        <v>-1.63999998569489</v>
      </c>
      <c r="P49">
        <v>3</v>
      </c>
      <c r="Q49" t="s">
        <v>422</v>
      </c>
      <c r="S49" t="str">
        <f t="shared" si="2"/>
        <v>Iceland</v>
      </c>
      <c r="T49" t="s">
        <v>254</v>
      </c>
      <c r="U49" s="7">
        <f t="shared" si="5"/>
        <v>-1.09333332379659</v>
      </c>
      <c r="V49">
        <v>3</v>
      </c>
      <c r="W49" t="s">
        <v>709</v>
      </c>
    </row>
    <row r="50" spans="2:23">
      <c r="B50" t="s">
        <v>204</v>
      </c>
      <c r="C50" t="s">
        <v>558</v>
      </c>
      <c r="D50">
        <v>0.05</v>
      </c>
      <c r="E50" t="s">
        <v>710</v>
      </c>
      <c r="H50">
        <v>2019</v>
      </c>
      <c r="I50" t="s">
        <v>22</v>
      </c>
      <c r="K50" s="6">
        <v>2456300.04882813</v>
      </c>
      <c r="M50" t="str">
        <f t="shared" si="0"/>
        <v>India</v>
      </c>
      <c r="N50" t="s">
        <v>254</v>
      </c>
      <c r="O50" s="7">
        <f t="shared" si="4"/>
        <v>-2456.30004882813</v>
      </c>
      <c r="P50">
        <v>3</v>
      </c>
      <c r="Q50" t="s">
        <v>422</v>
      </c>
      <c r="S50" t="str">
        <f t="shared" si="2"/>
        <v>India</v>
      </c>
      <c r="T50" t="s">
        <v>254</v>
      </c>
      <c r="U50" s="7">
        <f t="shared" si="5"/>
        <v>-1637.53336588542</v>
      </c>
      <c r="V50">
        <v>3</v>
      </c>
      <c r="W50" t="s">
        <v>709</v>
      </c>
    </row>
    <row r="51" spans="2:23">
      <c r="B51" t="s">
        <v>203</v>
      </c>
      <c r="C51" t="s">
        <v>558</v>
      </c>
      <c r="D51">
        <v>0.05</v>
      </c>
      <c r="E51" t="s">
        <v>710</v>
      </c>
      <c r="H51">
        <v>2019</v>
      </c>
      <c r="I51" t="s">
        <v>721</v>
      </c>
      <c r="K51" s="6">
        <v>2456300.04882813</v>
      </c>
      <c r="M51" t="str">
        <f t="shared" si="0"/>
        <v>India_d</v>
      </c>
      <c r="N51" t="s">
        <v>254</v>
      </c>
      <c r="O51" s="7">
        <f t="shared" si="4"/>
        <v>-2456.30004882813</v>
      </c>
      <c r="P51">
        <v>3</v>
      </c>
      <c r="Q51" t="s">
        <v>422</v>
      </c>
      <c r="S51" t="str">
        <f t="shared" si="2"/>
        <v>India_d</v>
      </c>
      <c r="T51" t="s">
        <v>254</v>
      </c>
      <c r="U51" s="7">
        <f t="shared" si="5"/>
        <v>-1637.53336588542</v>
      </c>
      <c r="V51">
        <v>3</v>
      </c>
      <c r="W51" t="s">
        <v>709</v>
      </c>
    </row>
    <row r="52" spans="2:23">
      <c r="B52" t="s">
        <v>202</v>
      </c>
      <c r="C52" t="s">
        <v>558</v>
      </c>
      <c r="D52">
        <v>0.08</v>
      </c>
      <c r="E52" t="s">
        <v>710</v>
      </c>
      <c r="H52">
        <v>2019</v>
      </c>
      <c r="I52" t="s">
        <v>180</v>
      </c>
      <c r="K52" s="6">
        <v>619840.026855469</v>
      </c>
      <c r="M52" t="str">
        <f t="shared" si="0"/>
        <v>Indonesia</v>
      </c>
      <c r="N52" t="s">
        <v>254</v>
      </c>
      <c r="O52" s="7">
        <f t="shared" si="4"/>
        <v>-619.840026855469</v>
      </c>
      <c r="P52">
        <v>3</v>
      </c>
      <c r="Q52" t="s">
        <v>422</v>
      </c>
      <c r="S52" t="str">
        <f t="shared" si="2"/>
        <v>Indonesia</v>
      </c>
      <c r="T52" t="s">
        <v>254</v>
      </c>
      <c r="U52" s="7">
        <f t="shared" si="5"/>
        <v>-413.226684570313</v>
      </c>
      <c r="V52">
        <v>3</v>
      </c>
      <c r="W52" t="s">
        <v>709</v>
      </c>
    </row>
    <row r="53" spans="2:23">
      <c r="B53" t="s">
        <v>201</v>
      </c>
      <c r="C53" t="s">
        <v>558</v>
      </c>
      <c r="D53">
        <v>0.08</v>
      </c>
      <c r="E53" t="s">
        <v>710</v>
      </c>
      <c r="H53">
        <v>2019</v>
      </c>
      <c r="I53" t="s">
        <v>722</v>
      </c>
      <c r="K53" s="6">
        <v>2178239.96162414</v>
      </c>
      <c r="M53" t="str">
        <f t="shared" si="0"/>
        <v>IPS_UPS</v>
      </c>
      <c r="N53" t="s">
        <v>254</v>
      </c>
      <c r="O53" s="7">
        <f t="shared" si="4"/>
        <v>-2178.23996162414</v>
      </c>
      <c r="P53">
        <v>3</v>
      </c>
      <c r="Q53" t="s">
        <v>422</v>
      </c>
      <c r="S53" t="str">
        <f t="shared" si="2"/>
        <v>IPS_UPS</v>
      </c>
      <c r="T53" t="s">
        <v>254</v>
      </c>
      <c r="U53" s="7">
        <f t="shared" si="5"/>
        <v>-1452.15997441609</v>
      </c>
      <c r="V53">
        <v>3</v>
      </c>
      <c r="W53" t="s">
        <v>709</v>
      </c>
    </row>
    <row r="54" spans="2:23">
      <c r="B54" t="s">
        <v>200</v>
      </c>
      <c r="C54" t="s">
        <v>558</v>
      </c>
      <c r="D54">
        <v>0.0375</v>
      </c>
      <c r="E54" t="s">
        <v>710</v>
      </c>
      <c r="H54">
        <v>2019</v>
      </c>
      <c r="I54" t="s">
        <v>181</v>
      </c>
      <c r="K54" s="6">
        <v>630010.009765625</v>
      </c>
      <c r="M54" t="str">
        <f t="shared" si="0"/>
        <v>Iran</v>
      </c>
      <c r="N54" t="s">
        <v>254</v>
      </c>
      <c r="O54" s="7">
        <f t="shared" si="4"/>
        <v>-630.010009765625</v>
      </c>
      <c r="P54">
        <v>3</v>
      </c>
      <c r="Q54" t="s">
        <v>422</v>
      </c>
      <c r="S54" t="str">
        <f t="shared" si="2"/>
        <v>Iran</v>
      </c>
      <c r="T54" t="s">
        <v>254</v>
      </c>
      <c r="U54" s="7">
        <f t="shared" si="5"/>
        <v>-420.006673177083</v>
      </c>
      <c r="V54">
        <v>3</v>
      </c>
      <c r="W54" t="s">
        <v>709</v>
      </c>
    </row>
    <row r="55" spans="2:23">
      <c r="B55" t="s">
        <v>199</v>
      </c>
      <c r="C55" t="s">
        <v>558</v>
      </c>
      <c r="D55">
        <v>0.0375</v>
      </c>
      <c r="E55" t="s">
        <v>710</v>
      </c>
      <c r="H55">
        <v>2019</v>
      </c>
      <c r="I55" t="s">
        <v>723</v>
      </c>
      <c r="K55" s="6">
        <v>883610.010147095</v>
      </c>
      <c r="M55" t="str">
        <f t="shared" si="0"/>
        <v>Iran_irq_tkm_arm</v>
      </c>
      <c r="N55" t="s">
        <v>254</v>
      </c>
      <c r="O55" s="7">
        <f t="shared" si="4"/>
        <v>-883.610010147095</v>
      </c>
      <c r="P55">
        <v>3</v>
      </c>
      <c r="Q55" t="s">
        <v>422</v>
      </c>
      <c r="S55" t="str">
        <f t="shared" si="2"/>
        <v>Iran_irq_tkm_arm</v>
      </c>
      <c r="T55" t="s">
        <v>254</v>
      </c>
      <c r="U55" s="7">
        <f t="shared" si="5"/>
        <v>-589.073340098063</v>
      </c>
      <c r="V55">
        <v>3</v>
      </c>
      <c r="W55" t="s">
        <v>709</v>
      </c>
    </row>
    <row r="56" spans="2:23">
      <c r="B56" t="s">
        <v>198</v>
      </c>
      <c r="C56" t="s">
        <v>558</v>
      </c>
      <c r="D56">
        <v>0.035</v>
      </c>
      <c r="E56" t="s">
        <v>710</v>
      </c>
      <c r="H56">
        <v>2019</v>
      </c>
      <c r="I56" t="s">
        <v>182</v>
      </c>
      <c r="K56" s="6">
        <v>174559.997558594</v>
      </c>
      <c r="M56" t="str">
        <f t="shared" si="0"/>
        <v>Iraq</v>
      </c>
      <c r="N56" t="s">
        <v>254</v>
      </c>
      <c r="O56" s="7">
        <f t="shared" si="4"/>
        <v>-174.559997558594</v>
      </c>
      <c r="P56">
        <v>3</v>
      </c>
      <c r="Q56" t="s">
        <v>422</v>
      </c>
      <c r="S56" t="str">
        <f t="shared" si="2"/>
        <v>Iraq</v>
      </c>
      <c r="T56" t="s">
        <v>254</v>
      </c>
      <c r="U56" s="7">
        <f t="shared" si="5"/>
        <v>-116.373331705729</v>
      </c>
      <c r="V56">
        <v>3</v>
      </c>
      <c r="W56" t="s">
        <v>709</v>
      </c>
    </row>
    <row r="57" spans="2:23">
      <c r="B57" t="s">
        <v>197</v>
      </c>
      <c r="C57" t="s">
        <v>558</v>
      </c>
      <c r="D57">
        <v>0.08</v>
      </c>
      <c r="E57" t="s">
        <v>710</v>
      </c>
      <c r="H57">
        <v>2019</v>
      </c>
      <c r="I57" t="s">
        <v>23</v>
      </c>
      <c r="K57" s="6">
        <v>35750</v>
      </c>
      <c r="M57" t="str">
        <f t="shared" si="0"/>
        <v>Ireland</v>
      </c>
      <c r="N57" t="s">
        <v>254</v>
      </c>
      <c r="O57" s="7">
        <f t="shared" si="4"/>
        <v>-35.75</v>
      </c>
      <c r="P57">
        <v>3</v>
      </c>
      <c r="Q57" t="s">
        <v>422</v>
      </c>
      <c r="S57" t="str">
        <f t="shared" si="2"/>
        <v>Ireland</v>
      </c>
      <c r="T57" t="s">
        <v>254</v>
      </c>
      <c r="U57" s="7">
        <f t="shared" si="5"/>
        <v>-23.8333333333333</v>
      </c>
      <c r="V57">
        <v>3</v>
      </c>
      <c r="W57" t="s">
        <v>709</v>
      </c>
    </row>
    <row r="58" spans="2:23">
      <c r="B58" t="s">
        <v>196</v>
      </c>
      <c r="C58" t="s">
        <v>558</v>
      </c>
      <c r="D58">
        <v>0.05</v>
      </c>
      <c r="E58" t="s">
        <v>710</v>
      </c>
      <c r="H58">
        <v>2019</v>
      </c>
      <c r="I58" t="s">
        <v>724</v>
      </c>
      <c r="K58" s="6">
        <v>35750</v>
      </c>
      <c r="M58" t="str">
        <f t="shared" si="0"/>
        <v>Ireland_NI</v>
      </c>
      <c r="N58" t="s">
        <v>254</v>
      </c>
      <c r="O58" s="7">
        <f t="shared" si="4"/>
        <v>-35.75</v>
      </c>
      <c r="P58">
        <v>3</v>
      </c>
      <c r="Q58" t="s">
        <v>422</v>
      </c>
      <c r="S58" t="str">
        <f t="shared" si="2"/>
        <v>Ireland_NI</v>
      </c>
      <c r="T58" t="s">
        <v>254</v>
      </c>
      <c r="U58" s="7">
        <f t="shared" si="5"/>
        <v>-23.8333333333333</v>
      </c>
      <c r="V58">
        <v>3</v>
      </c>
      <c r="W58" t="s">
        <v>709</v>
      </c>
    </row>
    <row r="59" spans="2:23">
      <c r="B59" t="s">
        <v>195</v>
      </c>
      <c r="C59" t="s">
        <v>558</v>
      </c>
      <c r="D59">
        <v>0.0375</v>
      </c>
      <c r="E59" t="s">
        <v>710</v>
      </c>
      <c r="H59">
        <v>2019</v>
      </c>
      <c r="I59" t="s">
        <v>183</v>
      </c>
      <c r="K59" s="6">
        <v>62650.0015258789</v>
      </c>
      <c r="M59" t="str">
        <f t="shared" si="0"/>
        <v>Israel</v>
      </c>
      <c r="N59" t="s">
        <v>254</v>
      </c>
      <c r="O59" s="7">
        <f t="shared" si="4"/>
        <v>-62.6500015258789</v>
      </c>
      <c r="P59">
        <v>3</v>
      </c>
      <c r="Q59" t="s">
        <v>422</v>
      </c>
      <c r="S59" t="str">
        <f t="shared" si="2"/>
        <v>Israel</v>
      </c>
      <c r="T59" t="s">
        <v>254</v>
      </c>
      <c r="U59" s="7">
        <f t="shared" si="5"/>
        <v>-41.7666676839193</v>
      </c>
      <c r="V59">
        <v>3</v>
      </c>
      <c r="W59" t="s">
        <v>709</v>
      </c>
    </row>
    <row r="60" spans="2:23">
      <c r="B60" t="s">
        <v>194</v>
      </c>
      <c r="C60" t="s">
        <v>558</v>
      </c>
      <c r="D60">
        <v>0.08</v>
      </c>
      <c r="E60" t="s">
        <v>710</v>
      </c>
      <c r="H60">
        <v>2019</v>
      </c>
      <c r="I60" t="s">
        <v>184</v>
      </c>
      <c r="K60" s="6">
        <v>317239.990234375</v>
      </c>
      <c r="M60" t="str">
        <f t="shared" si="0"/>
        <v>Italy</v>
      </c>
      <c r="N60" t="s">
        <v>254</v>
      </c>
      <c r="O60" s="7">
        <f t="shared" si="4"/>
        <v>-317.239990234375</v>
      </c>
      <c r="P60">
        <v>3</v>
      </c>
      <c r="Q60" t="s">
        <v>422</v>
      </c>
      <c r="S60" t="str">
        <f t="shared" si="2"/>
        <v>Italy</v>
      </c>
      <c r="T60" t="s">
        <v>254</v>
      </c>
      <c r="U60" s="7">
        <f t="shared" si="5"/>
        <v>-211.493326822917</v>
      </c>
      <c r="V60">
        <v>3</v>
      </c>
      <c r="W60" t="s">
        <v>709</v>
      </c>
    </row>
    <row r="61" spans="2:23">
      <c r="B61" t="s">
        <v>193</v>
      </c>
      <c r="C61" t="s">
        <v>558</v>
      </c>
      <c r="D61">
        <v>0.08</v>
      </c>
      <c r="E61" t="s">
        <v>710</v>
      </c>
      <c r="H61">
        <v>2019</v>
      </c>
      <c r="I61" t="s">
        <v>725</v>
      </c>
      <c r="K61" s="6">
        <v>318899.990200996</v>
      </c>
      <c r="M61" t="str">
        <f t="shared" si="0"/>
        <v>Italy_d</v>
      </c>
      <c r="N61" t="s">
        <v>254</v>
      </c>
      <c r="O61" s="7">
        <f t="shared" si="4"/>
        <v>-318.899990200996</v>
      </c>
      <c r="P61">
        <v>3</v>
      </c>
      <c r="Q61" t="s">
        <v>422</v>
      </c>
      <c r="S61" t="str">
        <f t="shared" si="2"/>
        <v>Italy_d</v>
      </c>
      <c r="T61" t="s">
        <v>254</v>
      </c>
      <c r="U61" s="7">
        <f t="shared" si="5"/>
        <v>-212.599993467331</v>
      </c>
      <c r="V61">
        <v>3</v>
      </c>
      <c r="W61" t="s">
        <v>709</v>
      </c>
    </row>
    <row r="62" spans="2:23">
      <c r="B62" t="s">
        <v>192</v>
      </c>
      <c r="C62" t="s">
        <v>558</v>
      </c>
      <c r="D62">
        <v>0.08</v>
      </c>
      <c r="E62" t="s">
        <v>710</v>
      </c>
      <c r="H62">
        <v>2019</v>
      </c>
      <c r="I62" t="s">
        <v>185</v>
      </c>
      <c r="K62" s="6">
        <v>10829.9999237061</v>
      </c>
      <c r="M62" t="str">
        <f t="shared" si="0"/>
        <v>IvoryCoast</v>
      </c>
      <c r="N62" t="s">
        <v>254</v>
      </c>
      <c r="O62" s="7">
        <f t="shared" si="4"/>
        <v>-10.8299999237061</v>
      </c>
      <c r="P62">
        <v>3</v>
      </c>
      <c r="Q62" t="s">
        <v>422</v>
      </c>
      <c r="S62" t="str">
        <f t="shared" si="2"/>
        <v>IvoryCoast</v>
      </c>
      <c r="T62" t="s">
        <v>254</v>
      </c>
      <c r="U62" s="7">
        <f t="shared" si="5"/>
        <v>-7.2199999491374</v>
      </c>
      <c r="V62">
        <v>3</v>
      </c>
      <c r="W62" t="s">
        <v>709</v>
      </c>
    </row>
    <row r="63" spans="2:23">
      <c r="B63" t="s">
        <v>191</v>
      </c>
      <c r="C63" t="s">
        <v>558</v>
      </c>
      <c r="D63">
        <v>0.08</v>
      </c>
      <c r="E63" t="s">
        <v>710</v>
      </c>
      <c r="H63">
        <v>2019</v>
      </c>
      <c r="I63" t="s">
        <v>25</v>
      </c>
      <c r="K63" s="6">
        <v>1081569.94628906</v>
      </c>
      <c r="M63" t="str">
        <f t="shared" si="0"/>
        <v>Japan</v>
      </c>
      <c r="N63" t="s">
        <v>254</v>
      </c>
      <c r="O63" s="7">
        <f t="shared" si="4"/>
        <v>-1081.56994628906</v>
      </c>
      <c r="P63">
        <v>3</v>
      </c>
      <c r="Q63" t="s">
        <v>422</v>
      </c>
      <c r="S63" t="str">
        <f t="shared" si="2"/>
        <v>Japan</v>
      </c>
      <c r="T63" t="s">
        <v>254</v>
      </c>
      <c r="U63" s="7">
        <f t="shared" si="5"/>
        <v>-721.046630859373</v>
      </c>
      <c r="V63">
        <v>3</v>
      </c>
      <c r="W63" t="s">
        <v>709</v>
      </c>
    </row>
    <row r="64" spans="2:23">
      <c r="B64" t="s">
        <v>190</v>
      </c>
      <c r="C64" t="s">
        <v>558</v>
      </c>
      <c r="D64">
        <v>0.0375</v>
      </c>
      <c r="E64" t="s">
        <v>710</v>
      </c>
      <c r="H64">
        <v>2019</v>
      </c>
      <c r="I64" t="s">
        <v>186</v>
      </c>
      <c r="K64" s="6">
        <v>212110.000610352</v>
      </c>
      <c r="M64" t="str">
        <f t="shared" si="0"/>
        <v>Kazakhstan</v>
      </c>
      <c r="N64" t="s">
        <v>254</v>
      </c>
      <c r="O64" s="7">
        <f t="shared" si="4"/>
        <v>-212.110000610352</v>
      </c>
      <c r="P64">
        <v>3</v>
      </c>
      <c r="Q64" t="s">
        <v>422</v>
      </c>
      <c r="S64" t="str">
        <f t="shared" si="2"/>
        <v>Kazakhstan</v>
      </c>
      <c r="T64" t="s">
        <v>254</v>
      </c>
      <c r="U64" s="7">
        <f t="shared" si="5"/>
        <v>-141.406667073568</v>
      </c>
      <c r="V64">
        <v>3</v>
      </c>
      <c r="W64" t="s">
        <v>709</v>
      </c>
    </row>
    <row r="65" spans="2:23">
      <c r="B65" t="s">
        <v>189</v>
      </c>
      <c r="C65" t="s">
        <v>558</v>
      </c>
      <c r="D65">
        <v>0.01</v>
      </c>
      <c r="E65" t="s">
        <v>710</v>
      </c>
      <c r="H65">
        <v>2019</v>
      </c>
      <c r="I65" t="s">
        <v>187</v>
      </c>
      <c r="K65" s="6">
        <v>22280.0006866455</v>
      </c>
      <c r="M65" t="str">
        <f t="shared" si="0"/>
        <v>Kenya</v>
      </c>
      <c r="N65" t="s">
        <v>254</v>
      </c>
      <c r="O65" s="7">
        <f t="shared" si="4"/>
        <v>-22.2800006866455</v>
      </c>
      <c r="P65">
        <v>3</v>
      </c>
      <c r="Q65" t="s">
        <v>422</v>
      </c>
      <c r="S65" t="str">
        <f t="shared" si="2"/>
        <v>Kenya</v>
      </c>
      <c r="T65" t="s">
        <v>254</v>
      </c>
      <c r="U65" s="7">
        <f t="shared" si="5"/>
        <v>-14.853333791097</v>
      </c>
      <c r="V65">
        <v>3</v>
      </c>
      <c r="W65" t="s">
        <v>709</v>
      </c>
    </row>
    <row r="66" spans="2:23">
      <c r="B66" t="s">
        <v>188</v>
      </c>
      <c r="C66" t="s">
        <v>558</v>
      </c>
      <c r="D66">
        <v>0.0375</v>
      </c>
      <c r="E66" t="s">
        <v>710</v>
      </c>
      <c r="H66">
        <v>2019</v>
      </c>
      <c r="I66" t="s">
        <v>189</v>
      </c>
      <c r="K66" s="6">
        <v>92650.0015258789</v>
      </c>
      <c r="M66" t="str">
        <f t="shared" si="0"/>
        <v>Kuwait</v>
      </c>
      <c r="N66" t="s">
        <v>254</v>
      </c>
      <c r="O66" s="7">
        <f t="shared" si="4"/>
        <v>-92.6500015258789</v>
      </c>
      <c r="P66">
        <v>3</v>
      </c>
      <c r="Q66" t="s">
        <v>422</v>
      </c>
      <c r="S66" t="str">
        <f t="shared" si="2"/>
        <v>Kuwait</v>
      </c>
      <c r="T66" t="s">
        <v>254</v>
      </c>
      <c r="U66" s="7">
        <f t="shared" si="5"/>
        <v>-61.7666676839193</v>
      </c>
      <c r="V66">
        <v>3</v>
      </c>
      <c r="W66" t="s">
        <v>709</v>
      </c>
    </row>
    <row r="67" spans="2:23">
      <c r="B67" t="s">
        <v>187</v>
      </c>
      <c r="C67" t="s">
        <v>558</v>
      </c>
      <c r="D67">
        <v>0.08</v>
      </c>
      <c r="E67" t="s">
        <v>710</v>
      </c>
      <c r="H67">
        <v>2019</v>
      </c>
      <c r="I67" t="s">
        <v>190</v>
      </c>
      <c r="K67" s="6">
        <v>10050.0001907349</v>
      </c>
      <c r="M67" t="str">
        <f t="shared" si="0"/>
        <v>Kyrgyzstan</v>
      </c>
      <c r="N67" t="s">
        <v>254</v>
      </c>
      <c r="O67" s="7">
        <f t="shared" si="4"/>
        <v>-10.0500001907349</v>
      </c>
      <c r="P67">
        <v>3</v>
      </c>
      <c r="Q67" t="s">
        <v>422</v>
      </c>
      <c r="S67" t="str">
        <f t="shared" si="2"/>
        <v>Kyrgyzstan</v>
      </c>
      <c r="T67" t="s">
        <v>254</v>
      </c>
      <c r="U67" s="7">
        <f t="shared" si="5"/>
        <v>-6.7000001271566</v>
      </c>
      <c r="V67">
        <v>3</v>
      </c>
      <c r="W67" t="s">
        <v>709</v>
      </c>
    </row>
    <row r="68" spans="2:23">
      <c r="B68" t="s">
        <v>186</v>
      </c>
      <c r="C68" t="s">
        <v>558</v>
      </c>
      <c r="D68">
        <v>0.0375</v>
      </c>
      <c r="E68" t="s">
        <v>710</v>
      </c>
      <c r="H68">
        <v>2019</v>
      </c>
      <c r="I68" t="s">
        <v>26</v>
      </c>
      <c r="K68" s="6">
        <v>1178719.99450028</v>
      </c>
      <c r="M68" t="str">
        <f t="shared" ref="M68:M131" si="6">$I68</f>
        <v>LatAm</v>
      </c>
      <c r="N68" t="s">
        <v>254</v>
      </c>
      <c r="O68" s="7">
        <f t="shared" si="4"/>
        <v>-1178.71999450028</v>
      </c>
      <c r="P68">
        <v>3</v>
      </c>
      <c r="Q68" t="s">
        <v>422</v>
      </c>
      <c r="S68" t="str">
        <f t="shared" ref="S68:S131" si="7">$I68</f>
        <v>LatAm</v>
      </c>
      <c r="T68" t="s">
        <v>254</v>
      </c>
      <c r="U68" s="7">
        <f t="shared" si="5"/>
        <v>-785.813329666853</v>
      </c>
      <c r="V68">
        <v>3</v>
      </c>
      <c r="W68" t="s">
        <v>709</v>
      </c>
    </row>
    <row r="69" spans="2:23">
      <c r="B69" t="s">
        <v>25</v>
      </c>
      <c r="C69" t="s">
        <v>558</v>
      </c>
      <c r="D69">
        <v>0.1</v>
      </c>
      <c r="E69" t="s">
        <v>710</v>
      </c>
      <c r="H69">
        <v>2019</v>
      </c>
      <c r="I69" t="s">
        <v>191</v>
      </c>
      <c r="K69" s="6">
        <v>7570.00017166138</v>
      </c>
      <c r="M69" t="str">
        <f t="shared" si="6"/>
        <v>Latvia</v>
      </c>
      <c r="N69" t="s">
        <v>254</v>
      </c>
      <c r="O69" s="7">
        <f t="shared" si="4"/>
        <v>-7.57000017166138</v>
      </c>
      <c r="P69">
        <v>3</v>
      </c>
      <c r="Q69" t="s">
        <v>422</v>
      </c>
      <c r="S69" t="str">
        <f t="shared" si="7"/>
        <v>Latvia</v>
      </c>
      <c r="T69" t="s">
        <v>254</v>
      </c>
      <c r="U69" s="7">
        <f t="shared" si="5"/>
        <v>-5.04666678110759</v>
      </c>
      <c r="V69">
        <v>3</v>
      </c>
      <c r="W69" t="s">
        <v>709</v>
      </c>
    </row>
    <row r="70" spans="2:23">
      <c r="B70" t="s">
        <v>185</v>
      </c>
      <c r="C70" t="s">
        <v>558</v>
      </c>
      <c r="D70">
        <v>0.08</v>
      </c>
      <c r="E70" t="s">
        <v>710</v>
      </c>
      <c r="H70">
        <v>2019</v>
      </c>
      <c r="I70" t="s">
        <v>192</v>
      </c>
      <c r="K70" s="6">
        <v>56799.9992370605</v>
      </c>
      <c r="M70" t="str">
        <f t="shared" si="6"/>
        <v>Libya</v>
      </c>
      <c r="N70" t="s">
        <v>254</v>
      </c>
      <c r="O70" s="7">
        <f t="shared" si="4"/>
        <v>-56.7999992370605</v>
      </c>
      <c r="P70">
        <v>3</v>
      </c>
      <c r="Q70" t="s">
        <v>422</v>
      </c>
      <c r="S70" t="str">
        <f t="shared" si="7"/>
        <v>Libya</v>
      </c>
      <c r="T70" t="s">
        <v>254</v>
      </c>
      <c r="U70" s="7">
        <f t="shared" si="5"/>
        <v>-37.8666661580403</v>
      </c>
      <c r="V70">
        <v>3</v>
      </c>
      <c r="W70" t="s">
        <v>709</v>
      </c>
    </row>
    <row r="71" spans="2:23">
      <c r="B71" t="s">
        <v>184</v>
      </c>
      <c r="C71" t="s">
        <v>558</v>
      </c>
      <c r="D71">
        <v>0.08</v>
      </c>
      <c r="E71" t="s">
        <v>710</v>
      </c>
      <c r="H71">
        <v>2019</v>
      </c>
      <c r="I71" t="s">
        <v>193</v>
      </c>
      <c r="K71" s="6">
        <v>11729.9995422363</v>
      </c>
      <c r="M71" t="str">
        <f t="shared" si="6"/>
        <v>Lithuania</v>
      </c>
      <c r="N71" t="s">
        <v>254</v>
      </c>
      <c r="O71" s="7">
        <f t="shared" si="4"/>
        <v>-11.7299995422363</v>
      </c>
      <c r="P71">
        <v>3</v>
      </c>
      <c r="Q71" t="s">
        <v>422</v>
      </c>
      <c r="S71" t="str">
        <f t="shared" si="7"/>
        <v>Lithuania</v>
      </c>
      <c r="T71" t="s">
        <v>254</v>
      </c>
      <c r="U71" s="7">
        <f t="shared" si="5"/>
        <v>-7.8199996948242</v>
      </c>
      <c r="V71">
        <v>3</v>
      </c>
      <c r="W71" t="s">
        <v>709</v>
      </c>
    </row>
    <row r="72" spans="2:23">
      <c r="B72" t="s">
        <v>183</v>
      </c>
      <c r="C72" t="s">
        <v>558</v>
      </c>
      <c r="D72">
        <v>0.01</v>
      </c>
      <c r="E72" t="s">
        <v>710</v>
      </c>
      <c r="H72">
        <v>2019</v>
      </c>
      <c r="I72" t="s">
        <v>194</v>
      </c>
      <c r="K72" s="6">
        <v>9489.99977111816</v>
      </c>
      <c r="M72" t="str">
        <f t="shared" si="6"/>
        <v>Luxembourg</v>
      </c>
      <c r="N72" t="s">
        <v>254</v>
      </c>
      <c r="O72" s="7">
        <f t="shared" si="4"/>
        <v>-9.48999977111816</v>
      </c>
      <c r="P72">
        <v>3</v>
      </c>
      <c r="Q72" t="s">
        <v>422</v>
      </c>
      <c r="S72" t="str">
        <f t="shared" si="7"/>
        <v>Luxembourg</v>
      </c>
      <c r="T72" t="s">
        <v>254</v>
      </c>
      <c r="U72" s="7">
        <f t="shared" si="5"/>
        <v>-6.32666651407877</v>
      </c>
      <c r="V72">
        <v>3</v>
      </c>
      <c r="W72" t="s">
        <v>709</v>
      </c>
    </row>
    <row r="73" spans="2:23">
      <c r="B73" t="s">
        <v>23</v>
      </c>
      <c r="C73" t="s">
        <v>558</v>
      </c>
      <c r="D73">
        <v>0.08</v>
      </c>
      <c r="E73" t="s">
        <v>710</v>
      </c>
      <c r="H73">
        <v>2019</v>
      </c>
      <c r="I73" t="s">
        <v>195</v>
      </c>
      <c r="K73" s="6">
        <v>8300.00019073486</v>
      </c>
      <c r="M73" t="str">
        <f t="shared" si="6"/>
        <v>Macedonia</v>
      </c>
      <c r="N73" t="s">
        <v>254</v>
      </c>
      <c r="O73" s="7">
        <f t="shared" si="4"/>
        <v>-8.30000019073486</v>
      </c>
      <c r="P73">
        <v>3</v>
      </c>
      <c r="Q73" t="s">
        <v>422</v>
      </c>
      <c r="S73" t="str">
        <f t="shared" si="7"/>
        <v>Macedonia</v>
      </c>
      <c r="T73" t="s">
        <v>254</v>
      </c>
      <c r="U73" s="7">
        <f t="shared" si="5"/>
        <v>-5.53333346048991</v>
      </c>
      <c r="V73">
        <v>3</v>
      </c>
      <c r="W73" t="s">
        <v>709</v>
      </c>
    </row>
    <row r="74" spans="2:23">
      <c r="B74" t="s">
        <v>182</v>
      </c>
      <c r="C74" t="s">
        <v>558</v>
      </c>
      <c r="D74">
        <v>0.01</v>
      </c>
      <c r="E74" t="s">
        <v>710</v>
      </c>
      <c r="H74">
        <v>2019</v>
      </c>
      <c r="I74" t="s">
        <v>196</v>
      </c>
      <c r="K74" s="6">
        <v>253270.004272461</v>
      </c>
      <c r="M74" t="str">
        <f t="shared" si="6"/>
        <v>Malaysia</v>
      </c>
      <c r="N74" t="s">
        <v>254</v>
      </c>
      <c r="O74" s="7">
        <f t="shared" si="4"/>
        <v>-253.270004272461</v>
      </c>
      <c r="P74">
        <v>3</v>
      </c>
      <c r="Q74" t="s">
        <v>422</v>
      </c>
      <c r="S74" t="str">
        <f t="shared" si="7"/>
        <v>Malaysia</v>
      </c>
      <c r="T74" t="s">
        <v>254</v>
      </c>
      <c r="U74" s="7">
        <f t="shared" si="5"/>
        <v>-168.846669514974</v>
      </c>
      <c r="V74">
        <v>3</v>
      </c>
      <c r="W74" t="s">
        <v>709</v>
      </c>
    </row>
    <row r="75" spans="2:23">
      <c r="B75" t="s">
        <v>181</v>
      </c>
      <c r="C75" t="s">
        <v>558</v>
      </c>
      <c r="D75">
        <v>0.01</v>
      </c>
      <c r="E75" t="s">
        <v>710</v>
      </c>
      <c r="H75">
        <v>2019</v>
      </c>
      <c r="I75" t="s">
        <v>197</v>
      </c>
      <c r="K75" s="6">
        <v>1659.9999666214</v>
      </c>
      <c r="M75" t="str">
        <f t="shared" si="6"/>
        <v>Malta</v>
      </c>
      <c r="N75" t="s">
        <v>254</v>
      </c>
      <c r="O75" s="7">
        <f t="shared" si="4"/>
        <v>-1.6599999666214</v>
      </c>
      <c r="P75">
        <v>3</v>
      </c>
      <c r="Q75" t="s">
        <v>422</v>
      </c>
      <c r="S75" t="str">
        <f t="shared" si="7"/>
        <v>Malta</v>
      </c>
      <c r="T75" t="s">
        <v>254</v>
      </c>
      <c r="U75" s="7">
        <f t="shared" si="5"/>
        <v>-1.10666664441427</v>
      </c>
      <c r="V75">
        <v>3</v>
      </c>
      <c r="W75" t="s">
        <v>709</v>
      </c>
    </row>
    <row r="76" spans="2:23">
      <c r="B76" t="s">
        <v>180</v>
      </c>
      <c r="C76" t="s">
        <v>558</v>
      </c>
      <c r="D76">
        <v>0.05</v>
      </c>
      <c r="E76" t="s">
        <v>710</v>
      </c>
      <c r="H76">
        <v>2019</v>
      </c>
      <c r="I76" t="s">
        <v>198</v>
      </c>
      <c r="K76" s="6">
        <v>449269.989013672</v>
      </c>
      <c r="M76" t="str">
        <f t="shared" si="6"/>
        <v>Mexico</v>
      </c>
      <c r="N76" t="s">
        <v>254</v>
      </c>
      <c r="O76" s="7">
        <f t="shared" si="4"/>
        <v>-449.269989013672</v>
      </c>
      <c r="P76">
        <v>3</v>
      </c>
      <c r="Q76" t="s">
        <v>422</v>
      </c>
      <c r="S76" t="str">
        <f t="shared" si="7"/>
        <v>Mexico</v>
      </c>
      <c r="T76" t="s">
        <v>254</v>
      </c>
      <c r="U76" s="7">
        <f t="shared" si="5"/>
        <v>-299.513326009115</v>
      </c>
      <c r="V76">
        <v>3</v>
      </c>
      <c r="W76" t="s">
        <v>709</v>
      </c>
    </row>
    <row r="77" spans="2:23">
      <c r="B77" t="s">
        <v>22</v>
      </c>
      <c r="C77" t="s">
        <v>558</v>
      </c>
      <c r="D77">
        <v>0.08</v>
      </c>
      <c r="E77" t="s">
        <v>710</v>
      </c>
      <c r="H77">
        <v>2019</v>
      </c>
      <c r="I77" t="s">
        <v>382</v>
      </c>
      <c r="K77" s="6">
        <v>20620.0008392334</v>
      </c>
      <c r="M77" t="str">
        <f t="shared" si="6"/>
        <v>MidEast_Naf</v>
      </c>
      <c r="N77" t="s">
        <v>254</v>
      </c>
      <c r="O77" s="7">
        <f t="shared" si="4"/>
        <v>-20.6200008392334</v>
      </c>
      <c r="P77">
        <v>3</v>
      </c>
      <c r="Q77" t="s">
        <v>422</v>
      </c>
      <c r="S77" t="str">
        <f t="shared" si="7"/>
        <v>MidEast_Naf</v>
      </c>
      <c r="T77" t="s">
        <v>254</v>
      </c>
      <c r="U77" s="7">
        <f t="shared" si="5"/>
        <v>-13.7466672261556</v>
      </c>
      <c r="V77">
        <v>3</v>
      </c>
      <c r="W77" t="s">
        <v>709</v>
      </c>
    </row>
    <row r="78" spans="2:23">
      <c r="B78" t="s">
        <v>21</v>
      </c>
      <c r="C78" t="s">
        <v>558</v>
      </c>
      <c r="D78">
        <v>0.08</v>
      </c>
      <c r="E78" t="s">
        <v>710</v>
      </c>
      <c r="H78">
        <v>2019</v>
      </c>
      <c r="I78" t="s">
        <v>199</v>
      </c>
      <c r="K78" s="6">
        <v>8859.99965667725</v>
      </c>
      <c r="M78" t="str">
        <f t="shared" si="6"/>
        <v>Moldova</v>
      </c>
      <c r="N78" t="s">
        <v>254</v>
      </c>
      <c r="O78" s="7">
        <f t="shared" si="4"/>
        <v>-8.85999965667725</v>
      </c>
      <c r="P78">
        <v>3</v>
      </c>
      <c r="Q78" t="s">
        <v>422</v>
      </c>
      <c r="S78" t="str">
        <f t="shared" si="7"/>
        <v>Moldova</v>
      </c>
      <c r="T78" t="s">
        <v>254</v>
      </c>
      <c r="U78" s="7">
        <f t="shared" si="5"/>
        <v>-5.90666643778483</v>
      </c>
      <c r="V78">
        <v>3</v>
      </c>
      <c r="W78" t="s">
        <v>709</v>
      </c>
    </row>
    <row r="79" spans="2:23">
      <c r="B79" t="s">
        <v>179</v>
      </c>
      <c r="C79" t="s">
        <v>558</v>
      </c>
      <c r="D79">
        <v>0.08</v>
      </c>
      <c r="E79" t="s">
        <v>710</v>
      </c>
      <c r="H79">
        <v>2019</v>
      </c>
      <c r="I79" t="s">
        <v>726</v>
      </c>
      <c r="K79" s="6">
        <v>8859.99965667725</v>
      </c>
      <c r="M79" t="str">
        <f t="shared" si="6"/>
        <v>Moldova_d</v>
      </c>
      <c r="N79" t="s">
        <v>254</v>
      </c>
      <c r="O79" s="7">
        <f t="shared" si="4"/>
        <v>-8.85999965667725</v>
      </c>
      <c r="P79">
        <v>3</v>
      </c>
      <c r="Q79" t="s">
        <v>422</v>
      </c>
      <c r="S79" t="str">
        <f t="shared" si="7"/>
        <v>Moldova_d</v>
      </c>
      <c r="T79" t="s">
        <v>254</v>
      </c>
      <c r="U79" s="7">
        <f t="shared" si="5"/>
        <v>-5.90666643778483</v>
      </c>
      <c r="V79">
        <v>3</v>
      </c>
      <c r="W79" t="s">
        <v>709</v>
      </c>
    </row>
    <row r="80" spans="2:23">
      <c r="B80" t="s">
        <v>178</v>
      </c>
      <c r="C80" t="s">
        <v>558</v>
      </c>
      <c r="D80">
        <v>0.08</v>
      </c>
      <c r="E80" t="s">
        <v>710</v>
      </c>
      <c r="H80">
        <v>2019</v>
      </c>
      <c r="I80" t="s">
        <v>200</v>
      </c>
      <c r="K80" s="6">
        <v>2599.99990463257</v>
      </c>
      <c r="M80" t="str">
        <f t="shared" si="6"/>
        <v>Montenegro</v>
      </c>
      <c r="N80" t="s">
        <v>254</v>
      </c>
      <c r="O80" s="7">
        <f t="shared" si="4"/>
        <v>-2.59999990463257</v>
      </c>
      <c r="P80">
        <v>3</v>
      </c>
      <c r="Q80" t="s">
        <v>422</v>
      </c>
      <c r="S80" t="str">
        <f t="shared" si="7"/>
        <v>Montenegro</v>
      </c>
      <c r="T80" t="s">
        <v>254</v>
      </c>
      <c r="U80" s="7">
        <f t="shared" si="5"/>
        <v>-1.73333326975505</v>
      </c>
      <c r="V80">
        <v>3</v>
      </c>
      <c r="W80" t="s">
        <v>709</v>
      </c>
    </row>
    <row r="81" spans="2:23">
      <c r="B81" t="s">
        <v>177</v>
      </c>
      <c r="C81" t="s">
        <v>558</v>
      </c>
      <c r="D81">
        <v>0.08</v>
      </c>
      <c r="E81" t="s">
        <v>710</v>
      </c>
      <c r="H81">
        <v>2019</v>
      </c>
      <c r="I81" t="s">
        <v>201</v>
      </c>
      <c r="K81" s="6">
        <v>71480.0033569336</v>
      </c>
      <c r="M81" t="str">
        <f t="shared" si="6"/>
        <v>Morocco</v>
      </c>
      <c r="N81" t="s">
        <v>254</v>
      </c>
      <c r="O81" s="7">
        <f t="shared" si="4"/>
        <v>-71.4800033569336</v>
      </c>
      <c r="P81">
        <v>3</v>
      </c>
      <c r="Q81" t="s">
        <v>422</v>
      </c>
      <c r="S81" t="str">
        <f t="shared" si="7"/>
        <v>Morocco</v>
      </c>
      <c r="T81" t="s">
        <v>254</v>
      </c>
      <c r="U81" s="7">
        <f t="shared" si="5"/>
        <v>-47.6533355712891</v>
      </c>
      <c r="V81">
        <v>3</v>
      </c>
      <c r="W81" t="s">
        <v>709</v>
      </c>
    </row>
    <row r="82" spans="2:23">
      <c r="B82" t="s">
        <v>18</v>
      </c>
      <c r="C82" t="s">
        <v>558</v>
      </c>
      <c r="D82">
        <v>0.08</v>
      </c>
      <c r="E82" t="s">
        <v>710</v>
      </c>
      <c r="H82">
        <v>2019</v>
      </c>
      <c r="I82" t="s">
        <v>202</v>
      </c>
      <c r="K82" s="6">
        <v>7500</v>
      </c>
      <c r="M82" t="str">
        <f t="shared" si="6"/>
        <v>Mozambique</v>
      </c>
      <c r="N82" t="s">
        <v>254</v>
      </c>
      <c r="O82" s="7">
        <f t="shared" si="4"/>
        <v>-7.5</v>
      </c>
      <c r="P82">
        <v>3</v>
      </c>
      <c r="Q82" t="s">
        <v>422</v>
      </c>
      <c r="S82" t="str">
        <f t="shared" si="7"/>
        <v>Mozambique</v>
      </c>
      <c r="T82" t="s">
        <v>254</v>
      </c>
      <c r="U82" s="7">
        <f t="shared" si="5"/>
        <v>-5</v>
      </c>
      <c r="V82">
        <v>3</v>
      </c>
      <c r="W82" t="s">
        <v>709</v>
      </c>
    </row>
    <row r="83" spans="2:23">
      <c r="B83" t="s">
        <v>176</v>
      </c>
      <c r="C83" t="s">
        <v>558</v>
      </c>
      <c r="D83">
        <v>0.0375</v>
      </c>
      <c r="E83" t="s">
        <v>710</v>
      </c>
      <c r="H83">
        <v>2019</v>
      </c>
      <c r="I83" t="s">
        <v>203</v>
      </c>
      <c r="K83" s="6">
        <v>36720.0012207031</v>
      </c>
      <c r="M83" t="str">
        <f t="shared" si="6"/>
        <v>Myanmar</v>
      </c>
      <c r="N83" t="s">
        <v>254</v>
      </c>
      <c r="O83" s="7">
        <f t="shared" si="4"/>
        <v>-36.7200012207031</v>
      </c>
      <c r="P83">
        <v>3</v>
      </c>
      <c r="Q83" t="s">
        <v>422</v>
      </c>
      <c r="S83" t="str">
        <f t="shared" si="7"/>
        <v>Myanmar</v>
      </c>
      <c r="T83" t="s">
        <v>254</v>
      </c>
      <c r="U83" s="7">
        <f t="shared" si="5"/>
        <v>-24.4800008138021</v>
      </c>
      <c r="V83">
        <v>3</v>
      </c>
      <c r="W83" t="s">
        <v>709</v>
      </c>
    </row>
    <row r="84" spans="2:23">
      <c r="B84" t="s">
        <v>17</v>
      </c>
      <c r="C84" t="s">
        <v>558</v>
      </c>
      <c r="D84">
        <v>0.08</v>
      </c>
      <c r="E84" t="s">
        <v>710</v>
      </c>
      <c r="H84">
        <v>2019</v>
      </c>
      <c r="I84" t="s">
        <v>204</v>
      </c>
      <c r="K84" s="6">
        <v>13449.9998092651</v>
      </c>
      <c r="M84" t="str">
        <f t="shared" si="6"/>
        <v>Nepal</v>
      </c>
      <c r="N84" t="s">
        <v>254</v>
      </c>
      <c r="O84" s="7">
        <f t="shared" si="4"/>
        <v>-13.4499998092651</v>
      </c>
      <c r="P84">
        <v>3</v>
      </c>
      <c r="Q84" t="s">
        <v>422</v>
      </c>
      <c r="S84" t="str">
        <f t="shared" si="7"/>
        <v>Nepal</v>
      </c>
      <c r="T84" t="s">
        <v>254</v>
      </c>
      <c r="U84" s="7">
        <f t="shared" si="5"/>
        <v>-8.96666653951007</v>
      </c>
      <c r="V84">
        <v>3</v>
      </c>
      <c r="W84" t="s">
        <v>709</v>
      </c>
    </row>
    <row r="85" spans="2:23">
      <c r="B85" t="s">
        <v>175</v>
      </c>
      <c r="C85" t="s">
        <v>558</v>
      </c>
      <c r="D85">
        <v>0.08</v>
      </c>
      <c r="E85" t="s">
        <v>710</v>
      </c>
      <c r="H85">
        <v>2019</v>
      </c>
      <c r="I85" t="s">
        <v>205</v>
      </c>
      <c r="K85" s="6">
        <v>146339.996337891</v>
      </c>
      <c r="M85" t="str">
        <f t="shared" si="6"/>
        <v>Netherlands</v>
      </c>
      <c r="N85" t="s">
        <v>254</v>
      </c>
      <c r="O85" s="7">
        <f t="shared" si="4"/>
        <v>-146.339996337891</v>
      </c>
      <c r="P85">
        <v>3</v>
      </c>
      <c r="Q85" t="s">
        <v>422</v>
      </c>
      <c r="S85" t="str">
        <f t="shared" si="7"/>
        <v>Netherlands</v>
      </c>
      <c r="T85" t="s">
        <v>254</v>
      </c>
      <c r="U85" s="7">
        <f t="shared" si="5"/>
        <v>-97.559997558594</v>
      </c>
      <c r="V85">
        <v>3</v>
      </c>
      <c r="W85" t="s">
        <v>709</v>
      </c>
    </row>
    <row r="86" spans="2:23">
      <c r="B86" t="s">
        <v>174</v>
      </c>
      <c r="C86" t="s">
        <v>558</v>
      </c>
      <c r="D86">
        <v>0.08</v>
      </c>
      <c r="E86" t="s">
        <v>710</v>
      </c>
      <c r="H86">
        <v>2019</v>
      </c>
      <c r="I86" t="s">
        <v>206</v>
      </c>
      <c r="K86" s="6">
        <v>34009.9983215332</v>
      </c>
      <c r="M86" t="str">
        <f t="shared" si="6"/>
        <v>NewZealand</v>
      </c>
      <c r="N86" t="s">
        <v>254</v>
      </c>
      <c r="O86" s="7">
        <f t="shared" si="4"/>
        <v>-34.0099983215332</v>
      </c>
      <c r="P86">
        <v>3</v>
      </c>
      <c r="Q86" t="s">
        <v>422</v>
      </c>
      <c r="S86" t="str">
        <f t="shared" si="7"/>
        <v>NewZealand</v>
      </c>
      <c r="T86" t="s">
        <v>254</v>
      </c>
      <c r="U86" s="7">
        <f t="shared" si="5"/>
        <v>-22.6733322143555</v>
      </c>
      <c r="V86">
        <v>3</v>
      </c>
      <c r="W86" t="s">
        <v>709</v>
      </c>
    </row>
    <row r="87" spans="2:23">
      <c r="B87" t="s">
        <v>173</v>
      </c>
      <c r="C87" t="s">
        <v>558</v>
      </c>
      <c r="D87">
        <v>0.08</v>
      </c>
      <c r="E87" t="s">
        <v>710</v>
      </c>
      <c r="H87">
        <v>2019</v>
      </c>
      <c r="I87" t="s">
        <v>207</v>
      </c>
      <c r="K87" s="6">
        <v>2150.00009536743</v>
      </c>
      <c r="M87" t="str">
        <f t="shared" si="6"/>
        <v>Niger</v>
      </c>
      <c r="N87" t="s">
        <v>254</v>
      </c>
      <c r="O87" s="7">
        <f t="shared" si="4"/>
        <v>-2.15000009536743</v>
      </c>
      <c r="P87">
        <v>3</v>
      </c>
      <c r="Q87" t="s">
        <v>422</v>
      </c>
      <c r="S87" t="str">
        <f t="shared" si="7"/>
        <v>Niger</v>
      </c>
      <c r="T87" t="s">
        <v>254</v>
      </c>
      <c r="U87" s="7">
        <f t="shared" si="5"/>
        <v>-1.43333339691162</v>
      </c>
      <c r="V87">
        <v>3</v>
      </c>
      <c r="W87" t="s">
        <v>709</v>
      </c>
    </row>
    <row r="88" spans="2:23">
      <c r="B88" t="s">
        <v>172</v>
      </c>
      <c r="C88" t="s">
        <v>558</v>
      </c>
      <c r="D88">
        <v>0.08</v>
      </c>
      <c r="E88" t="s">
        <v>710</v>
      </c>
      <c r="H88">
        <v>2019</v>
      </c>
      <c r="I88" t="s">
        <v>208</v>
      </c>
      <c r="K88" s="6">
        <v>115279.998779297</v>
      </c>
      <c r="M88" t="str">
        <f t="shared" si="6"/>
        <v>Nigeria</v>
      </c>
      <c r="N88" t="s">
        <v>254</v>
      </c>
      <c r="O88" s="7">
        <f t="shared" si="4"/>
        <v>-115.279998779297</v>
      </c>
      <c r="P88">
        <v>3</v>
      </c>
      <c r="Q88" t="s">
        <v>422</v>
      </c>
      <c r="S88" t="str">
        <f t="shared" si="7"/>
        <v>Nigeria</v>
      </c>
      <c r="T88" t="s">
        <v>254</v>
      </c>
      <c r="U88" s="7">
        <f t="shared" si="5"/>
        <v>-76.8533325195313</v>
      </c>
      <c r="V88">
        <v>3</v>
      </c>
      <c r="W88" t="s">
        <v>709</v>
      </c>
    </row>
    <row r="89" spans="2:23">
      <c r="B89" t="s">
        <v>171</v>
      </c>
      <c r="C89" t="s">
        <v>558</v>
      </c>
      <c r="D89">
        <v>0.08</v>
      </c>
      <c r="E89" t="s">
        <v>710</v>
      </c>
      <c r="H89">
        <v>2019</v>
      </c>
      <c r="I89" t="s">
        <v>28</v>
      </c>
      <c r="K89" s="6">
        <v>5847200.22583008</v>
      </c>
      <c r="M89" t="str">
        <f t="shared" si="6"/>
        <v>NorthAm</v>
      </c>
      <c r="N89" t="s">
        <v>254</v>
      </c>
      <c r="O89" s="7">
        <f t="shared" si="4"/>
        <v>-5847.20022583008</v>
      </c>
      <c r="P89">
        <v>3</v>
      </c>
      <c r="Q89" t="s">
        <v>422</v>
      </c>
      <c r="S89" t="str">
        <f t="shared" si="7"/>
        <v>NorthAm</v>
      </c>
      <c r="T89" t="s">
        <v>254</v>
      </c>
      <c r="U89" s="7">
        <f t="shared" si="5"/>
        <v>-3898.13348388672</v>
      </c>
      <c r="V89">
        <v>3</v>
      </c>
      <c r="W89" t="s">
        <v>709</v>
      </c>
    </row>
    <row r="90" spans="2:23">
      <c r="B90" t="s">
        <v>170</v>
      </c>
      <c r="C90" t="s">
        <v>558</v>
      </c>
      <c r="D90">
        <v>0.08</v>
      </c>
      <c r="E90" t="s">
        <v>710</v>
      </c>
      <c r="H90">
        <v>2019</v>
      </c>
      <c r="I90" t="s">
        <v>727</v>
      </c>
      <c r="K90" s="6">
        <v>272640.003204346</v>
      </c>
      <c r="M90" t="str">
        <f t="shared" si="6"/>
        <v>Northwest_Africa</v>
      </c>
      <c r="N90" t="s">
        <v>254</v>
      </c>
      <c r="O90" s="7">
        <f t="shared" si="4"/>
        <v>-272.640003204346</v>
      </c>
      <c r="P90">
        <v>3</v>
      </c>
      <c r="Q90" t="s">
        <v>422</v>
      </c>
      <c r="S90" t="str">
        <f t="shared" si="7"/>
        <v>Northwest_Africa</v>
      </c>
      <c r="T90" t="s">
        <v>254</v>
      </c>
      <c r="U90" s="7">
        <f t="shared" si="5"/>
        <v>-181.760002136231</v>
      </c>
      <c r="V90">
        <v>3</v>
      </c>
      <c r="W90" t="s">
        <v>709</v>
      </c>
    </row>
    <row r="91" spans="2:23">
      <c r="B91" t="s">
        <v>169</v>
      </c>
      <c r="C91" t="s">
        <v>558</v>
      </c>
      <c r="D91">
        <v>0.08</v>
      </c>
      <c r="E91" t="s">
        <v>710</v>
      </c>
      <c r="H91">
        <v>2019</v>
      </c>
      <c r="I91" t="s">
        <v>29</v>
      </c>
      <c r="K91" s="6">
        <v>35950.0007629395</v>
      </c>
      <c r="M91" t="str">
        <f t="shared" si="6"/>
        <v>Norway</v>
      </c>
      <c r="N91" t="s">
        <v>254</v>
      </c>
      <c r="O91" s="7">
        <f t="shared" si="4"/>
        <v>-35.9500007629395</v>
      </c>
      <c r="P91">
        <v>3</v>
      </c>
      <c r="Q91" t="s">
        <v>422</v>
      </c>
      <c r="S91" t="str">
        <f t="shared" si="7"/>
        <v>Norway</v>
      </c>
      <c r="T91" t="s">
        <v>254</v>
      </c>
      <c r="U91" s="7">
        <f t="shared" si="5"/>
        <v>-23.966667175293</v>
      </c>
      <c r="V91">
        <v>3</v>
      </c>
      <c r="W91" t="s">
        <v>709</v>
      </c>
    </row>
    <row r="92" spans="2:23">
      <c r="B92" t="s">
        <v>168</v>
      </c>
      <c r="C92" t="s">
        <v>558</v>
      </c>
      <c r="D92">
        <v>0.08</v>
      </c>
      <c r="E92" t="s">
        <v>710</v>
      </c>
      <c r="H92">
        <v>2019</v>
      </c>
      <c r="I92" t="s">
        <v>728</v>
      </c>
      <c r="K92" s="6">
        <v>37590.0007486344</v>
      </c>
      <c r="M92" t="str">
        <f t="shared" si="6"/>
        <v>Norway_Iceland</v>
      </c>
      <c r="N92" t="s">
        <v>254</v>
      </c>
      <c r="O92" s="7">
        <f t="shared" si="4"/>
        <v>-37.5900007486344</v>
      </c>
      <c r="P92">
        <v>3</v>
      </c>
      <c r="Q92" t="s">
        <v>422</v>
      </c>
      <c r="S92" t="str">
        <f t="shared" si="7"/>
        <v>Norway_Iceland</v>
      </c>
      <c r="T92" t="s">
        <v>254</v>
      </c>
      <c r="U92" s="7">
        <f t="shared" si="5"/>
        <v>-25.0600004990896</v>
      </c>
      <c r="V92">
        <v>3</v>
      </c>
      <c r="W92" t="s">
        <v>709</v>
      </c>
    </row>
    <row r="93" spans="2:23">
      <c r="B93" t="s">
        <v>167</v>
      </c>
      <c r="C93" t="s">
        <v>558</v>
      </c>
      <c r="D93">
        <v>0.08</v>
      </c>
      <c r="E93" t="s">
        <v>710</v>
      </c>
      <c r="H93">
        <v>2019</v>
      </c>
      <c r="I93" t="s">
        <v>209</v>
      </c>
      <c r="K93" s="6">
        <v>76029.9987792969</v>
      </c>
      <c r="M93" t="str">
        <f t="shared" si="6"/>
        <v>Oman</v>
      </c>
      <c r="N93" t="s">
        <v>254</v>
      </c>
      <c r="O93" s="7">
        <f t="shared" si="4"/>
        <v>-76.0299987792969</v>
      </c>
      <c r="P93">
        <v>3</v>
      </c>
      <c r="Q93" t="s">
        <v>422</v>
      </c>
      <c r="S93" t="str">
        <f t="shared" si="7"/>
        <v>Oman</v>
      </c>
      <c r="T93" t="s">
        <v>254</v>
      </c>
      <c r="U93" s="7">
        <f t="shared" si="5"/>
        <v>-50.6866658528646</v>
      </c>
      <c r="V93">
        <v>3</v>
      </c>
      <c r="W93" t="s">
        <v>709</v>
      </c>
    </row>
    <row r="94" spans="2:23">
      <c r="B94" t="s">
        <v>166</v>
      </c>
      <c r="C94" t="s">
        <v>558</v>
      </c>
      <c r="D94">
        <v>0.0375</v>
      </c>
      <c r="E94" t="s">
        <v>710</v>
      </c>
      <c r="H94">
        <v>2019</v>
      </c>
      <c r="I94" t="s">
        <v>210</v>
      </c>
      <c r="K94" s="6">
        <v>111010.000243783</v>
      </c>
      <c r="M94" t="str">
        <f t="shared" si="6"/>
        <v>Other_Africa</v>
      </c>
      <c r="N94" t="s">
        <v>254</v>
      </c>
      <c r="O94" s="7">
        <f t="shared" si="4"/>
        <v>-111.010000243783</v>
      </c>
      <c r="P94">
        <v>3</v>
      </c>
      <c r="Q94" t="s">
        <v>422</v>
      </c>
      <c r="S94" t="str">
        <f t="shared" si="7"/>
        <v>Other_Africa</v>
      </c>
      <c r="T94" t="s">
        <v>254</v>
      </c>
      <c r="U94" s="7">
        <f t="shared" si="5"/>
        <v>-74.0066668291887</v>
      </c>
      <c r="V94">
        <v>3</v>
      </c>
      <c r="W94" t="s">
        <v>709</v>
      </c>
    </row>
    <row r="95" spans="2:23">
      <c r="B95" t="s">
        <v>14</v>
      </c>
      <c r="C95" t="s">
        <v>558</v>
      </c>
      <c r="D95">
        <v>0.04</v>
      </c>
      <c r="E95" t="s">
        <v>710</v>
      </c>
      <c r="H95">
        <v>2019</v>
      </c>
      <c r="I95" t="s">
        <v>211</v>
      </c>
      <c r="K95" s="6">
        <v>165020.00018023</v>
      </c>
      <c r="M95" t="str">
        <f t="shared" si="6"/>
        <v>Other_AsiaEm</v>
      </c>
      <c r="N95" t="s">
        <v>254</v>
      </c>
      <c r="O95" s="7">
        <f t="shared" si="4"/>
        <v>-165.02000018023</v>
      </c>
      <c r="P95">
        <v>3</v>
      </c>
      <c r="Q95" t="s">
        <v>422</v>
      </c>
      <c r="S95" t="str">
        <f t="shared" si="7"/>
        <v>Other_AsiaEm</v>
      </c>
      <c r="T95" t="s">
        <v>254</v>
      </c>
      <c r="U95" s="7">
        <f t="shared" si="5"/>
        <v>-110.013333453487</v>
      </c>
      <c r="V95">
        <v>3</v>
      </c>
      <c r="W95" t="s">
        <v>709</v>
      </c>
    </row>
    <row r="96" spans="2:23">
      <c r="B96" t="s">
        <v>165</v>
      </c>
      <c r="C96" t="s">
        <v>558</v>
      </c>
      <c r="D96">
        <v>0.0375</v>
      </c>
      <c r="E96" t="s">
        <v>710</v>
      </c>
      <c r="H96">
        <v>2019</v>
      </c>
      <c r="I96" t="s">
        <v>212</v>
      </c>
      <c r="K96" s="6">
        <v>650.000005960464</v>
      </c>
      <c r="M96" t="str">
        <f t="shared" si="6"/>
        <v>Other_EurDev</v>
      </c>
      <c r="N96" t="s">
        <v>254</v>
      </c>
      <c r="O96" s="7">
        <f t="shared" si="4"/>
        <v>-0.650000005960464</v>
      </c>
      <c r="P96">
        <v>3</v>
      </c>
      <c r="Q96" t="s">
        <v>422</v>
      </c>
      <c r="S96" t="str">
        <f t="shared" si="7"/>
        <v>Other_EurDev</v>
      </c>
      <c r="T96" t="s">
        <v>254</v>
      </c>
      <c r="U96" s="7">
        <f t="shared" si="5"/>
        <v>-0.433333337306976</v>
      </c>
      <c r="V96">
        <v>3</v>
      </c>
      <c r="W96" t="s">
        <v>709</v>
      </c>
    </row>
    <row r="97" spans="2:23">
      <c r="B97" t="s">
        <v>164</v>
      </c>
      <c r="C97" t="s">
        <v>558</v>
      </c>
      <c r="D97">
        <v>0.035</v>
      </c>
      <c r="E97" t="s">
        <v>710</v>
      </c>
      <c r="H97">
        <v>2019</v>
      </c>
      <c r="I97" t="s">
        <v>213</v>
      </c>
      <c r="K97" s="6">
        <v>234820.000603795</v>
      </c>
      <c r="M97" t="str">
        <f t="shared" si="6"/>
        <v>Other_LatAm</v>
      </c>
      <c r="N97" t="s">
        <v>254</v>
      </c>
      <c r="O97" s="7">
        <f t="shared" si="4"/>
        <v>-234.820000603795</v>
      </c>
      <c r="P97">
        <v>3</v>
      </c>
      <c r="Q97" t="s">
        <v>422</v>
      </c>
      <c r="S97" t="str">
        <f t="shared" si="7"/>
        <v>Other_LatAm</v>
      </c>
      <c r="T97" t="s">
        <v>254</v>
      </c>
      <c r="U97" s="7">
        <f t="shared" si="5"/>
        <v>-156.546667069197</v>
      </c>
      <c r="V97">
        <v>3</v>
      </c>
      <c r="W97" t="s">
        <v>709</v>
      </c>
    </row>
    <row r="98" spans="2:23">
      <c r="B98" t="s">
        <v>163</v>
      </c>
      <c r="C98" t="s">
        <v>558</v>
      </c>
      <c r="D98">
        <v>0.08</v>
      </c>
      <c r="E98" t="s">
        <v>710</v>
      </c>
      <c r="H98">
        <v>2019</v>
      </c>
      <c r="I98" t="s">
        <v>214</v>
      </c>
      <c r="K98" s="6">
        <v>111549.997329712</v>
      </c>
      <c r="M98" t="str">
        <f t="shared" si="6"/>
        <v>Other_MidEast</v>
      </c>
      <c r="N98" t="s">
        <v>254</v>
      </c>
      <c r="O98" s="7">
        <f t="shared" si="4"/>
        <v>-111.549997329712</v>
      </c>
      <c r="P98">
        <v>3</v>
      </c>
      <c r="Q98" t="s">
        <v>422</v>
      </c>
      <c r="S98" t="str">
        <f t="shared" si="7"/>
        <v>Other_MidEast</v>
      </c>
      <c r="T98" t="s">
        <v>254</v>
      </c>
      <c r="U98" s="7">
        <f t="shared" si="5"/>
        <v>-74.3666648864747</v>
      </c>
      <c r="V98">
        <v>3</v>
      </c>
      <c r="W98" t="s">
        <v>709</v>
      </c>
    </row>
    <row r="99" spans="2:23">
      <c r="B99" t="s">
        <v>162</v>
      </c>
      <c r="C99" t="s">
        <v>558</v>
      </c>
      <c r="D99">
        <v>0.08</v>
      </c>
      <c r="E99" t="s">
        <v>710</v>
      </c>
      <c r="H99">
        <v>2019</v>
      </c>
      <c r="I99" t="s">
        <v>215</v>
      </c>
      <c r="K99" s="6">
        <v>190570.007324219</v>
      </c>
      <c r="M99" t="str">
        <f t="shared" si="6"/>
        <v>Pakistan</v>
      </c>
      <c r="N99" t="s">
        <v>254</v>
      </c>
      <c r="O99" s="7">
        <f t="shared" si="4"/>
        <v>-190.570007324219</v>
      </c>
      <c r="P99">
        <v>3</v>
      </c>
      <c r="Q99" t="s">
        <v>422</v>
      </c>
      <c r="S99" t="str">
        <f t="shared" si="7"/>
        <v>Pakistan</v>
      </c>
      <c r="T99" t="s">
        <v>254</v>
      </c>
      <c r="U99" s="7">
        <f t="shared" si="5"/>
        <v>-127.046671549479</v>
      </c>
      <c r="V99">
        <v>3</v>
      </c>
      <c r="W99" t="s">
        <v>709</v>
      </c>
    </row>
    <row r="100" spans="2:23">
      <c r="B100" t="s">
        <v>13</v>
      </c>
      <c r="C100" t="s">
        <v>558</v>
      </c>
      <c r="D100">
        <v>0.0375</v>
      </c>
      <c r="E100" t="s">
        <v>710</v>
      </c>
      <c r="H100">
        <v>2019</v>
      </c>
      <c r="I100" t="s">
        <v>216</v>
      </c>
      <c r="K100" s="6">
        <v>56750</v>
      </c>
      <c r="M100" t="str">
        <f t="shared" si="6"/>
        <v>Peru</v>
      </c>
      <c r="N100" t="s">
        <v>254</v>
      </c>
      <c r="O100" s="7">
        <f t="shared" si="4"/>
        <v>-56.75</v>
      </c>
      <c r="P100">
        <v>3</v>
      </c>
      <c r="Q100" t="s">
        <v>422</v>
      </c>
      <c r="S100" t="str">
        <f t="shared" si="7"/>
        <v>Peru</v>
      </c>
      <c r="T100" t="s">
        <v>254</v>
      </c>
      <c r="U100" s="7">
        <f t="shared" si="5"/>
        <v>-37.8333333333333</v>
      </c>
      <c r="V100">
        <v>3</v>
      </c>
      <c r="W100" t="s">
        <v>709</v>
      </c>
    </row>
    <row r="101" spans="2:23">
      <c r="B101" t="s">
        <v>161</v>
      </c>
      <c r="C101" t="s">
        <v>558</v>
      </c>
      <c r="D101">
        <v>0.0375</v>
      </c>
      <c r="E101" t="s">
        <v>710</v>
      </c>
      <c r="H101">
        <v>2019</v>
      </c>
      <c r="I101" t="s">
        <v>217</v>
      </c>
      <c r="K101" s="6">
        <v>145419.998168945</v>
      </c>
      <c r="M101" t="str">
        <f t="shared" si="6"/>
        <v>Philippines</v>
      </c>
      <c r="N101" t="s">
        <v>254</v>
      </c>
      <c r="O101" s="7">
        <f t="shared" si="4"/>
        <v>-145.419998168945</v>
      </c>
      <c r="P101">
        <v>3</v>
      </c>
      <c r="Q101" t="s">
        <v>422</v>
      </c>
      <c r="S101" t="str">
        <f t="shared" si="7"/>
        <v>Philippines</v>
      </c>
      <c r="T101" t="s">
        <v>254</v>
      </c>
      <c r="U101" s="7">
        <f t="shared" si="5"/>
        <v>-96.9466654459633</v>
      </c>
      <c r="V101">
        <v>3</v>
      </c>
      <c r="W101" t="s">
        <v>709</v>
      </c>
    </row>
    <row r="102" spans="2:23">
      <c r="B102" t="s">
        <v>160</v>
      </c>
      <c r="C102" t="s">
        <v>558</v>
      </c>
      <c r="D102">
        <v>0.08</v>
      </c>
      <c r="E102" t="s">
        <v>710</v>
      </c>
      <c r="H102">
        <v>2019</v>
      </c>
      <c r="I102" t="s">
        <v>30</v>
      </c>
      <c r="K102" s="6">
        <v>295130.004882813</v>
      </c>
      <c r="M102" t="str">
        <f t="shared" si="6"/>
        <v>Poland</v>
      </c>
      <c r="N102" t="s">
        <v>254</v>
      </c>
      <c r="O102" s="7">
        <f t="shared" si="4"/>
        <v>-295.130004882813</v>
      </c>
      <c r="P102">
        <v>3</v>
      </c>
      <c r="Q102" t="s">
        <v>422</v>
      </c>
      <c r="S102" t="str">
        <f t="shared" si="7"/>
        <v>Poland</v>
      </c>
      <c r="T102" t="s">
        <v>254</v>
      </c>
      <c r="U102" s="7">
        <f t="shared" si="5"/>
        <v>-196.753336588542</v>
      </c>
      <c r="V102">
        <v>3</v>
      </c>
      <c r="W102" t="s">
        <v>709</v>
      </c>
    </row>
    <row r="103" spans="2:23">
      <c r="B103" t="s">
        <v>159</v>
      </c>
      <c r="C103" t="s">
        <v>558</v>
      </c>
      <c r="D103">
        <v>0.0375</v>
      </c>
      <c r="E103" t="s">
        <v>710</v>
      </c>
      <c r="H103">
        <v>2019</v>
      </c>
      <c r="I103" t="s">
        <v>729</v>
      </c>
      <c r="K103" s="6">
        <v>295130.004882813</v>
      </c>
      <c r="M103" t="str">
        <f t="shared" si="6"/>
        <v>Poland_d</v>
      </c>
      <c r="N103" t="s">
        <v>254</v>
      </c>
      <c r="O103" s="7">
        <f t="shared" si="4"/>
        <v>-295.130004882813</v>
      </c>
      <c r="P103">
        <v>3</v>
      </c>
      <c r="Q103" t="s">
        <v>422</v>
      </c>
      <c r="S103" t="str">
        <f t="shared" si="7"/>
        <v>Poland_d</v>
      </c>
      <c r="T103" t="s">
        <v>254</v>
      </c>
      <c r="U103" s="7">
        <f t="shared" si="5"/>
        <v>-196.753336588542</v>
      </c>
      <c r="V103">
        <v>3</v>
      </c>
      <c r="W103" t="s">
        <v>709</v>
      </c>
    </row>
    <row r="104" spans="2:23">
      <c r="B104" t="s">
        <v>158</v>
      </c>
      <c r="C104" t="s">
        <v>558</v>
      </c>
      <c r="D104">
        <v>0.05</v>
      </c>
      <c r="E104" t="s">
        <v>710</v>
      </c>
      <c r="H104">
        <v>2019</v>
      </c>
      <c r="I104" t="s">
        <v>218</v>
      </c>
      <c r="K104" s="6">
        <v>44639.9993896484</v>
      </c>
      <c r="M104" t="str">
        <f t="shared" si="6"/>
        <v>Portugal</v>
      </c>
      <c r="N104" t="s">
        <v>254</v>
      </c>
      <c r="O104" s="7">
        <f t="shared" si="4"/>
        <v>-44.6399993896484</v>
      </c>
      <c r="P104">
        <v>3</v>
      </c>
      <c r="Q104" t="s">
        <v>422</v>
      </c>
      <c r="S104" t="str">
        <f t="shared" si="7"/>
        <v>Portugal</v>
      </c>
      <c r="T104" t="s">
        <v>254</v>
      </c>
      <c r="U104" s="7">
        <f t="shared" si="5"/>
        <v>-29.7599995930989</v>
      </c>
      <c r="V104">
        <v>3</v>
      </c>
      <c r="W104" t="s">
        <v>709</v>
      </c>
    </row>
    <row r="105" spans="2:23">
      <c r="B105" t="s">
        <v>157</v>
      </c>
      <c r="C105" t="s">
        <v>558</v>
      </c>
      <c r="D105">
        <v>0.0375</v>
      </c>
      <c r="E105" t="s">
        <v>710</v>
      </c>
      <c r="H105">
        <v>2019</v>
      </c>
      <c r="I105" t="s">
        <v>219</v>
      </c>
      <c r="K105" s="6">
        <v>91970.0012207031</v>
      </c>
      <c r="M105" t="str">
        <f t="shared" si="6"/>
        <v>Qatar</v>
      </c>
      <c r="N105" t="s">
        <v>254</v>
      </c>
      <c r="O105" s="7">
        <f t="shared" si="4"/>
        <v>-91.9700012207031</v>
      </c>
      <c r="P105">
        <v>3</v>
      </c>
      <c r="Q105" t="s">
        <v>422</v>
      </c>
      <c r="S105" t="str">
        <f t="shared" si="7"/>
        <v>Qatar</v>
      </c>
      <c r="T105" t="s">
        <v>254</v>
      </c>
      <c r="U105" s="7">
        <f t="shared" si="5"/>
        <v>-61.3133341471354</v>
      </c>
      <c r="V105">
        <v>3</v>
      </c>
      <c r="W105" t="s">
        <v>709</v>
      </c>
    </row>
    <row r="106" spans="2:23">
      <c r="B106" t="s">
        <v>10</v>
      </c>
      <c r="C106" t="s">
        <v>558</v>
      </c>
      <c r="D106">
        <v>0.08</v>
      </c>
      <c r="E106" t="s">
        <v>710</v>
      </c>
      <c r="H106">
        <v>2019</v>
      </c>
      <c r="I106" t="s">
        <v>220</v>
      </c>
      <c r="K106" s="6">
        <v>73949.9969482422</v>
      </c>
      <c r="M106" t="str">
        <f t="shared" si="6"/>
        <v>Romania</v>
      </c>
      <c r="N106" t="s">
        <v>254</v>
      </c>
      <c r="O106" s="7">
        <f t="shared" si="4"/>
        <v>-73.9499969482422</v>
      </c>
      <c r="P106">
        <v>3</v>
      </c>
      <c r="Q106" t="s">
        <v>422</v>
      </c>
      <c r="S106" t="str">
        <f t="shared" si="7"/>
        <v>Romania</v>
      </c>
      <c r="T106" t="s">
        <v>254</v>
      </c>
      <c r="U106" s="7">
        <f t="shared" si="5"/>
        <v>-49.2999979654948</v>
      </c>
      <c r="V106">
        <v>3</v>
      </c>
      <c r="W106" t="s">
        <v>709</v>
      </c>
    </row>
    <row r="107" spans="2:23">
      <c r="B107" t="s">
        <v>9</v>
      </c>
      <c r="C107" t="s">
        <v>558</v>
      </c>
      <c r="D107">
        <v>0.1</v>
      </c>
      <c r="E107" t="s">
        <v>710</v>
      </c>
      <c r="H107">
        <v>2019</v>
      </c>
      <c r="I107" t="s">
        <v>32</v>
      </c>
      <c r="K107" s="6">
        <v>1703589.96582031</v>
      </c>
      <c r="M107" t="str">
        <f t="shared" si="6"/>
        <v>Russia</v>
      </c>
      <c r="N107" t="s">
        <v>254</v>
      </c>
      <c r="O107" s="7">
        <f t="shared" si="4"/>
        <v>-1703.58996582031</v>
      </c>
      <c r="P107">
        <v>3</v>
      </c>
      <c r="Q107" t="s">
        <v>422</v>
      </c>
      <c r="S107" t="str">
        <f t="shared" si="7"/>
        <v>Russia</v>
      </c>
      <c r="T107" t="s">
        <v>254</v>
      </c>
      <c r="U107" s="7">
        <f t="shared" si="5"/>
        <v>-1135.72664388021</v>
      </c>
      <c r="V107">
        <v>3</v>
      </c>
      <c r="W107" t="s">
        <v>709</v>
      </c>
    </row>
    <row r="108" spans="2:23">
      <c r="B108" t="s">
        <v>156</v>
      </c>
      <c r="C108" t="s">
        <v>558</v>
      </c>
      <c r="D108">
        <v>0.0375</v>
      </c>
      <c r="E108" t="s">
        <v>710</v>
      </c>
      <c r="H108">
        <v>2019</v>
      </c>
      <c r="I108" t="s">
        <v>33</v>
      </c>
      <c r="K108" s="6">
        <v>523780.029296875</v>
      </c>
      <c r="M108" t="str">
        <f t="shared" si="6"/>
        <v>SaudiArabia</v>
      </c>
      <c r="N108" t="s">
        <v>254</v>
      </c>
      <c r="O108" s="7">
        <f t="shared" si="4"/>
        <v>-523.780029296875</v>
      </c>
      <c r="P108">
        <v>3</v>
      </c>
      <c r="Q108" t="s">
        <v>422</v>
      </c>
      <c r="S108" t="str">
        <f t="shared" si="7"/>
        <v>SaudiArabia</v>
      </c>
      <c r="T108" t="s">
        <v>254</v>
      </c>
      <c r="U108" s="7">
        <f t="shared" si="5"/>
        <v>-349.186686197917</v>
      </c>
      <c r="V108">
        <v>3</v>
      </c>
      <c r="W108" t="s">
        <v>709</v>
      </c>
    </row>
    <row r="109" spans="2:23">
      <c r="B109" t="s">
        <v>155</v>
      </c>
      <c r="C109" t="s">
        <v>558</v>
      </c>
      <c r="D109">
        <v>0.0375</v>
      </c>
      <c r="E109" t="s">
        <v>710</v>
      </c>
      <c r="H109">
        <v>2019</v>
      </c>
      <c r="I109" t="s">
        <v>221</v>
      </c>
      <c r="K109" s="6">
        <v>45950.0007629395</v>
      </c>
      <c r="M109" t="str">
        <f t="shared" si="6"/>
        <v>Serbia</v>
      </c>
      <c r="N109" t="s">
        <v>254</v>
      </c>
      <c r="O109" s="7">
        <f t="shared" si="4"/>
        <v>-45.9500007629395</v>
      </c>
      <c r="P109">
        <v>3</v>
      </c>
      <c r="Q109" t="s">
        <v>422</v>
      </c>
      <c r="S109" t="str">
        <f t="shared" si="7"/>
        <v>Serbia</v>
      </c>
      <c r="T109" t="s">
        <v>254</v>
      </c>
      <c r="U109" s="7">
        <f t="shared" si="5"/>
        <v>-30.6333338419597</v>
      </c>
      <c r="V109">
        <v>3</v>
      </c>
      <c r="W109" t="s">
        <v>709</v>
      </c>
    </row>
    <row r="110" spans="2:23">
      <c r="B110" t="s">
        <v>154</v>
      </c>
      <c r="C110" t="s">
        <v>558</v>
      </c>
      <c r="D110">
        <v>0.08</v>
      </c>
      <c r="E110" t="s">
        <v>710</v>
      </c>
      <c r="H110">
        <v>2019</v>
      </c>
      <c r="I110" t="s">
        <v>222</v>
      </c>
      <c r="K110">
        <v>47380.0010681152</v>
      </c>
      <c r="M110" t="str">
        <f t="shared" si="6"/>
        <v>Singapore</v>
      </c>
      <c r="N110" t="s">
        <v>254</v>
      </c>
      <c r="O110" s="7">
        <f t="shared" ref="O110:O139" si="8">-K110/1000</f>
        <v>-47.3800010681152</v>
      </c>
      <c r="P110">
        <v>3</v>
      </c>
      <c r="Q110" t="s">
        <v>422</v>
      </c>
      <c r="S110" t="str">
        <f t="shared" si="7"/>
        <v>Singapore</v>
      </c>
      <c r="T110" t="s">
        <v>254</v>
      </c>
      <c r="U110" s="7">
        <f t="shared" ref="U110:U139" si="9">-K110/1000*2/3</f>
        <v>-31.5866673787435</v>
      </c>
      <c r="V110">
        <v>3</v>
      </c>
      <c r="W110" t="s">
        <v>709</v>
      </c>
    </row>
    <row r="111" spans="2:23">
      <c r="B111" t="s">
        <v>153</v>
      </c>
      <c r="C111" t="s">
        <v>558</v>
      </c>
      <c r="D111">
        <v>0.08</v>
      </c>
      <c r="E111" t="s">
        <v>710</v>
      </c>
      <c r="H111">
        <v>2019</v>
      </c>
      <c r="I111" t="s">
        <v>223</v>
      </c>
      <c r="K111">
        <v>31079.9999237061</v>
      </c>
      <c r="M111" t="str">
        <f t="shared" si="6"/>
        <v>Slovak</v>
      </c>
      <c r="N111" t="s">
        <v>254</v>
      </c>
      <c r="O111" s="7">
        <f t="shared" si="8"/>
        <v>-31.0799999237061</v>
      </c>
      <c r="P111">
        <v>3</v>
      </c>
      <c r="Q111" t="s">
        <v>422</v>
      </c>
      <c r="S111" t="str">
        <f t="shared" si="7"/>
        <v>Slovak</v>
      </c>
      <c r="T111" t="s">
        <v>254</v>
      </c>
      <c r="U111" s="7">
        <f t="shared" si="9"/>
        <v>-20.7199999491374</v>
      </c>
      <c r="V111">
        <v>3</v>
      </c>
      <c r="W111" t="s">
        <v>709</v>
      </c>
    </row>
    <row r="112" spans="2:23">
      <c r="B112" t="s">
        <v>152</v>
      </c>
      <c r="C112" t="s">
        <v>558</v>
      </c>
      <c r="D112">
        <v>0.0375</v>
      </c>
      <c r="E112" t="s">
        <v>710</v>
      </c>
      <c r="H112">
        <v>2019</v>
      </c>
      <c r="I112" t="s">
        <v>224</v>
      </c>
      <c r="K112">
        <v>13600.0003814697</v>
      </c>
      <c r="M112" t="str">
        <f t="shared" si="6"/>
        <v>Slovenia</v>
      </c>
      <c r="N112" t="s">
        <v>254</v>
      </c>
      <c r="O112" s="7">
        <f t="shared" si="8"/>
        <v>-13.6000003814697</v>
      </c>
      <c r="P112">
        <v>3</v>
      </c>
      <c r="Q112" t="s">
        <v>422</v>
      </c>
      <c r="S112" t="str">
        <f t="shared" si="7"/>
        <v>Slovenia</v>
      </c>
      <c r="T112" t="s">
        <v>254</v>
      </c>
      <c r="U112" s="7">
        <f t="shared" si="9"/>
        <v>-9.0666669209798</v>
      </c>
      <c r="V112">
        <v>3</v>
      </c>
      <c r="W112" t="s">
        <v>709</v>
      </c>
    </row>
    <row r="113" spans="2:23">
      <c r="B113" t="s">
        <v>277</v>
      </c>
      <c r="H113">
        <v>2019</v>
      </c>
      <c r="I113" t="s">
        <v>34</v>
      </c>
      <c r="K113">
        <v>439640.014648438</v>
      </c>
      <c r="M113" t="str">
        <f t="shared" si="6"/>
        <v>SouthAfrica</v>
      </c>
      <c r="N113" t="s">
        <v>254</v>
      </c>
      <c r="O113" s="7">
        <f t="shared" si="8"/>
        <v>-439.640014648438</v>
      </c>
      <c r="P113">
        <v>3</v>
      </c>
      <c r="Q113" t="s">
        <v>422</v>
      </c>
      <c r="S113" t="str">
        <f t="shared" si="7"/>
        <v>SouthAfrica</v>
      </c>
      <c r="T113" t="s">
        <v>254</v>
      </c>
      <c r="U113" s="7">
        <f t="shared" si="9"/>
        <v>-293.093343098959</v>
      </c>
      <c r="V113">
        <v>3</v>
      </c>
      <c r="W113" t="s">
        <v>709</v>
      </c>
    </row>
    <row r="114" spans="2:23">
      <c r="B114" t="s">
        <v>730</v>
      </c>
      <c r="C114" t="s">
        <v>558</v>
      </c>
      <c r="D114">
        <v>0.0375</v>
      </c>
      <c r="E114" t="s">
        <v>710</v>
      </c>
      <c r="H114">
        <v>2019</v>
      </c>
      <c r="I114" t="s">
        <v>731</v>
      </c>
      <c r="K114">
        <v>242929.99792099</v>
      </c>
      <c r="M114" t="str">
        <f t="shared" si="6"/>
        <v>Southeast_Europe</v>
      </c>
      <c r="N114" t="s">
        <v>254</v>
      </c>
      <c r="O114" s="7">
        <f t="shared" si="8"/>
        <v>-242.92999792099</v>
      </c>
      <c r="P114">
        <v>3</v>
      </c>
      <c r="Q114" t="s">
        <v>422</v>
      </c>
      <c r="S114" t="str">
        <f t="shared" si="7"/>
        <v>Southeast_Europe</v>
      </c>
      <c r="T114" t="s">
        <v>254</v>
      </c>
      <c r="U114" s="7">
        <f t="shared" si="9"/>
        <v>-161.953331947327</v>
      </c>
      <c r="V114">
        <v>3</v>
      </c>
      <c r="W114" t="s">
        <v>709</v>
      </c>
    </row>
    <row r="115" spans="2:23">
      <c r="B115" t="s">
        <v>732</v>
      </c>
      <c r="C115" t="s">
        <v>558</v>
      </c>
      <c r="D115">
        <v>0.0375</v>
      </c>
      <c r="E115" t="s">
        <v>710</v>
      </c>
      <c r="H115">
        <v>2019</v>
      </c>
      <c r="I115" t="s">
        <v>225</v>
      </c>
      <c r="K115">
        <v>610789.978027344</v>
      </c>
      <c r="M115" t="str">
        <f t="shared" si="6"/>
        <v>SouthKorea</v>
      </c>
      <c r="N115" t="s">
        <v>254</v>
      </c>
      <c r="O115" s="7">
        <f t="shared" si="8"/>
        <v>-610.789978027344</v>
      </c>
      <c r="P115">
        <v>3</v>
      </c>
      <c r="Q115" t="s">
        <v>422</v>
      </c>
      <c r="S115" t="str">
        <f t="shared" si="7"/>
        <v>SouthKorea</v>
      </c>
      <c r="T115" t="s">
        <v>254</v>
      </c>
      <c r="U115" s="7">
        <f t="shared" si="9"/>
        <v>-407.193318684896</v>
      </c>
      <c r="V115">
        <v>3</v>
      </c>
      <c r="W115" t="s">
        <v>709</v>
      </c>
    </row>
    <row r="116" spans="2:23">
      <c r="B116" t="s">
        <v>733</v>
      </c>
      <c r="C116" t="s">
        <v>558</v>
      </c>
      <c r="D116">
        <v>0.0375</v>
      </c>
      <c r="E116" t="s">
        <v>710</v>
      </c>
      <c r="H116">
        <v>2019</v>
      </c>
      <c r="I116" t="s">
        <v>226</v>
      </c>
      <c r="K116">
        <v>239979.995727539</v>
      </c>
      <c r="M116" t="str">
        <f t="shared" si="6"/>
        <v>Spain</v>
      </c>
      <c r="N116" t="s">
        <v>254</v>
      </c>
      <c r="O116" s="7">
        <f t="shared" si="8"/>
        <v>-239.979995727539</v>
      </c>
      <c r="P116">
        <v>3</v>
      </c>
      <c r="Q116" t="s">
        <v>422</v>
      </c>
      <c r="S116" t="str">
        <f t="shared" si="7"/>
        <v>Spain</v>
      </c>
      <c r="T116" t="s">
        <v>254</v>
      </c>
      <c r="U116" s="7">
        <f t="shared" si="9"/>
        <v>-159.986663818359</v>
      </c>
      <c r="V116">
        <v>3</v>
      </c>
      <c r="W116" t="s">
        <v>709</v>
      </c>
    </row>
    <row r="117" spans="2:23">
      <c r="B117" t="s">
        <v>734</v>
      </c>
      <c r="C117" t="s">
        <v>558</v>
      </c>
      <c r="D117">
        <v>0.08</v>
      </c>
      <c r="E117" t="s">
        <v>710</v>
      </c>
      <c r="H117">
        <v>2019</v>
      </c>
      <c r="I117" t="s">
        <v>227</v>
      </c>
      <c r="K117">
        <v>20620.0008392334</v>
      </c>
      <c r="M117" t="str">
        <f t="shared" si="6"/>
        <v>Sudan</v>
      </c>
      <c r="N117" t="s">
        <v>254</v>
      </c>
      <c r="O117" s="7">
        <f t="shared" si="8"/>
        <v>-20.6200008392334</v>
      </c>
      <c r="P117">
        <v>3</v>
      </c>
      <c r="Q117" t="s">
        <v>422</v>
      </c>
      <c r="S117" t="str">
        <f t="shared" si="7"/>
        <v>Sudan</v>
      </c>
      <c r="T117" t="s">
        <v>254</v>
      </c>
      <c r="U117" s="7">
        <f t="shared" si="9"/>
        <v>-13.7466672261556</v>
      </c>
      <c r="V117">
        <v>3</v>
      </c>
      <c r="W117" t="s">
        <v>709</v>
      </c>
    </row>
    <row r="118" spans="2:23">
      <c r="B118" t="s">
        <v>735</v>
      </c>
      <c r="C118" t="s">
        <v>558</v>
      </c>
      <c r="D118">
        <v>0.08</v>
      </c>
      <c r="E118" t="s">
        <v>710</v>
      </c>
      <c r="H118">
        <v>2019</v>
      </c>
      <c r="I118" t="s">
        <v>228</v>
      </c>
      <c r="K118">
        <v>35000</v>
      </c>
      <c r="M118" t="str">
        <f t="shared" si="6"/>
        <v>Sweden</v>
      </c>
      <c r="N118" t="s">
        <v>254</v>
      </c>
      <c r="O118" s="7">
        <f t="shared" si="8"/>
        <v>-35</v>
      </c>
      <c r="P118">
        <v>3</v>
      </c>
      <c r="Q118" t="s">
        <v>422</v>
      </c>
      <c r="S118" t="str">
        <f t="shared" si="7"/>
        <v>Sweden</v>
      </c>
      <c r="T118" t="s">
        <v>254</v>
      </c>
      <c r="U118" s="7">
        <f t="shared" si="9"/>
        <v>-23.3333333333333</v>
      </c>
      <c r="V118">
        <v>3</v>
      </c>
      <c r="W118" t="s">
        <v>709</v>
      </c>
    </row>
    <row r="119" spans="2:23">
      <c r="B119" t="s">
        <v>731</v>
      </c>
      <c r="C119" t="s">
        <v>558</v>
      </c>
      <c r="D119">
        <v>0.08</v>
      </c>
      <c r="E119" t="s">
        <v>710</v>
      </c>
      <c r="H119">
        <v>2019</v>
      </c>
      <c r="I119" t="s">
        <v>735</v>
      </c>
      <c r="K119">
        <v>75709.9990844727</v>
      </c>
      <c r="M119" t="str">
        <f t="shared" si="6"/>
        <v>Sweden_Finland</v>
      </c>
      <c r="N119" t="s">
        <v>254</v>
      </c>
      <c r="O119" s="7">
        <f t="shared" si="8"/>
        <v>-75.7099990844727</v>
      </c>
      <c r="P119">
        <v>3</v>
      </c>
      <c r="Q119" t="s">
        <v>422</v>
      </c>
      <c r="S119" t="str">
        <f t="shared" si="7"/>
        <v>Sweden_Finland</v>
      </c>
      <c r="T119" t="s">
        <v>254</v>
      </c>
      <c r="U119" s="7">
        <f t="shared" si="9"/>
        <v>-50.4733327229818</v>
      </c>
      <c r="V119">
        <v>3</v>
      </c>
      <c r="W119" t="s">
        <v>709</v>
      </c>
    </row>
    <row r="120" spans="2:23">
      <c r="B120" t="s">
        <v>729</v>
      </c>
      <c r="C120" t="s">
        <v>558</v>
      </c>
      <c r="D120">
        <v>0.08</v>
      </c>
      <c r="E120" t="s">
        <v>710</v>
      </c>
      <c r="H120">
        <v>2019</v>
      </c>
      <c r="I120" t="s">
        <v>37</v>
      </c>
      <c r="K120">
        <v>37380.0010681152</v>
      </c>
      <c r="M120" t="str">
        <f t="shared" si="6"/>
        <v>Switzerland</v>
      </c>
      <c r="N120" t="s">
        <v>254</v>
      </c>
      <c r="O120" s="7">
        <f t="shared" si="8"/>
        <v>-37.3800010681152</v>
      </c>
      <c r="P120">
        <v>3</v>
      </c>
      <c r="Q120" t="s">
        <v>422</v>
      </c>
      <c r="S120" t="str">
        <f t="shared" si="7"/>
        <v>Switzerland</v>
      </c>
      <c r="T120" t="s">
        <v>254</v>
      </c>
      <c r="U120" s="7">
        <f t="shared" si="9"/>
        <v>-24.9200007120768</v>
      </c>
      <c r="V120">
        <v>3</v>
      </c>
      <c r="W120" t="s">
        <v>709</v>
      </c>
    </row>
    <row r="121" spans="2:23">
      <c r="B121" t="s">
        <v>728</v>
      </c>
      <c r="C121" t="s">
        <v>558</v>
      </c>
      <c r="D121">
        <v>0.08</v>
      </c>
      <c r="E121" t="s">
        <v>710</v>
      </c>
      <c r="H121">
        <v>2019</v>
      </c>
      <c r="I121" t="s">
        <v>734</v>
      </c>
      <c r="K121">
        <v>37380.0010681152</v>
      </c>
      <c r="M121" t="str">
        <f t="shared" si="6"/>
        <v>Switzerland_d</v>
      </c>
      <c r="N121" t="s">
        <v>254</v>
      </c>
      <c r="O121" s="7">
        <f t="shared" si="8"/>
        <v>-37.3800010681152</v>
      </c>
      <c r="P121">
        <v>3</v>
      </c>
      <c r="Q121" t="s">
        <v>422</v>
      </c>
      <c r="S121" t="str">
        <f t="shared" si="7"/>
        <v>Switzerland_d</v>
      </c>
      <c r="T121" t="s">
        <v>254</v>
      </c>
      <c r="U121" s="7">
        <f t="shared" si="9"/>
        <v>-24.9200007120768</v>
      </c>
      <c r="V121">
        <v>3</v>
      </c>
      <c r="W121" t="s">
        <v>709</v>
      </c>
    </row>
    <row r="122" spans="2:23">
      <c r="B122" t="s">
        <v>727</v>
      </c>
      <c r="C122" t="s">
        <v>558</v>
      </c>
      <c r="D122">
        <v>0.08</v>
      </c>
      <c r="E122" t="s">
        <v>710</v>
      </c>
      <c r="H122">
        <v>2019</v>
      </c>
      <c r="I122" t="s">
        <v>230</v>
      </c>
      <c r="K122">
        <v>9420.00007629395</v>
      </c>
      <c r="M122" t="str">
        <f t="shared" si="6"/>
        <v>Tajikistan</v>
      </c>
      <c r="N122" t="s">
        <v>254</v>
      </c>
      <c r="O122" s="7">
        <f t="shared" si="8"/>
        <v>-9.42000007629395</v>
      </c>
      <c r="P122">
        <v>3</v>
      </c>
      <c r="Q122" t="s">
        <v>422</v>
      </c>
      <c r="S122" t="str">
        <f t="shared" si="7"/>
        <v>Tajikistan</v>
      </c>
      <c r="T122" t="s">
        <v>254</v>
      </c>
      <c r="U122" s="7">
        <f t="shared" si="9"/>
        <v>-6.28000005086263</v>
      </c>
      <c r="V122">
        <v>3</v>
      </c>
      <c r="W122" t="s">
        <v>709</v>
      </c>
    </row>
    <row r="123" spans="2:23">
      <c r="B123" t="s">
        <v>28</v>
      </c>
      <c r="C123" t="s">
        <v>558</v>
      </c>
      <c r="D123">
        <v>0.025</v>
      </c>
      <c r="E123" t="s">
        <v>710</v>
      </c>
      <c r="H123">
        <v>2019</v>
      </c>
      <c r="I123" t="s">
        <v>231</v>
      </c>
      <c r="K123">
        <v>12449.9998092651</v>
      </c>
      <c r="M123" t="str">
        <f t="shared" si="6"/>
        <v>Tanzania</v>
      </c>
      <c r="N123" t="s">
        <v>254</v>
      </c>
      <c r="O123" s="7">
        <f t="shared" si="8"/>
        <v>-12.4499998092651</v>
      </c>
      <c r="P123">
        <v>3</v>
      </c>
      <c r="Q123" t="s">
        <v>422</v>
      </c>
      <c r="S123" t="str">
        <f t="shared" si="7"/>
        <v>Tanzania</v>
      </c>
      <c r="T123" t="s">
        <v>254</v>
      </c>
      <c r="U123" s="7">
        <f t="shared" si="9"/>
        <v>-8.2999998728434</v>
      </c>
      <c r="V123">
        <v>3</v>
      </c>
      <c r="W123" t="s">
        <v>709</v>
      </c>
    </row>
    <row r="124" spans="2:23">
      <c r="B124" t="s">
        <v>726</v>
      </c>
      <c r="C124" t="s">
        <v>558</v>
      </c>
      <c r="D124">
        <v>0.0375</v>
      </c>
      <c r="E124" t="s">
        <v>710</v>
      </c>
      <c r="H124">
        <v>2019</v>
      </c>
      <c r="I124" t="s">
        <v>232</v>
      </c>
      <c r="K124">
        <v>267089.996337891</v>
      </c>
      <c r="M124" t="str">
        <f t="shared" si="6"/>
        <v>Thailand</v>
      </c>
      <c r="N124" t="s">
        <v>254</v>
      </c>
      <c r="O124" s="7">
        <f t="shared" si="8"/>
        <v>-267.089996337891</v>
      </c>
      <c r="P124">
        <v>3</v>
      </c>
      <c r="Q124" t="s">
        <v>422</v>
      </c>
      <c r="S124" t="str">
        <f t="shared" si="7"/>
        <v>Thailand</v>
      </c>
      <c r="T124" t="s">
        <v>254</v>
      </c>
      <c r="U124" s="7">
        <f t="shared" si="9"/>
        <v>-178.059997558594</v>
      </c>
      <c r="V124">
        <v>3</v>
      </c>
      <c r="W124" t="s">
        <v>709</v>
      </c>
    </row>
    <row r="125" spans="2:23">
      <c r="B125" t="s">
        <v>382</v>
      </c>
      <c r="C125" t="s">
        <v>558</v>
      </c>
      <c r="D125">
        <v>0.08</v>
      </c>
      <c r="E125" t="s">
        <v>710</v>
      </c>
      <c r="H125">
        <v>2019</v>
      </c>
      <c r="I125" t="s">
        <v>233</v>
      </c>
      <c r="K125">
        <v>29909.9998474121</v>
      </c>
      <c r="M125" t="str">
        <f t="shared" si="6"/>
        <v>Tunisia</v>
      </c>
      <c r="N125" t="s">
        <v>254</v>
      </c>
      <c r="O125" s="7">
        <f t="shared" si="8"/>
        <v>-29.9099998474121</v>
      </c>
      <c r="P125">
        <v>3</v>
      </c>
      <c r="Q125" t="s">
        <v>422</v>
      </c>
      <c r="S125" t="str">
        <f t="shared" si="7"/>
        <v>Tunisia</v>
      </c>
      <c r="T125" t="s">
        <v>254</v>
      </c>
      <c r="U125" s="7">
        <f t="shared" si="9"/>
        <v>-19.9399998982747</v>
      </c>
      <c r="V125">
        <v>3</v>
      </c>
      <c r="W125" t="s">
        <v>709</v>
      </c>
    </row>
    <row r="126" spans="2:23">
      <c r="B126" t="s">
        <v>26</v>
      </c>
      <c r="C126" t="s">
        <v>558</v>
      </c>
      <c r="D126">
        <v>0.0375</v>
      </c>
      <c r="E126" t="s">
        <v>710</v>
      </c>
      <c r="H126">
        <v>2019</v>
      </c>
      <c r="I126" t="s">
        <v>38</v>
      </c>
      <c r="K126">
        <v>396839.996337891</v>
      </c>
      <c r="M126" t="str">
        <f t="shared" si="6"/>
        <v>Turkey</v>
      </c>
      <c r="N126" t="s">
        <v>254</v>
      </c>
      <c r="O126" s="7">
        <f t="shared" si="8"/>
        <v>-396.839996337891</v>
      </c>
      <c r="P126">
        <v>3</v>
      </c>
      <c r="Q126" t="s">
        <v>422</v>
      </c>
      <c r="S126" t="str">
        <f t="shared" si="7"/>
        <v>Turkey</v>
      </c>
      <c r="T126" t="s">
        <v>254</v>
      </c>
      <c r="U126" s="7">
        <f t="shared" si="9"/>
        <v>-264.559997558594</v>
      </c>
      <c r="V126">
        <v>3</v>
      </c>
      <c r="W126" t="s">
        <v>709</v>
      </c>
    </row>
    <row r="127" spans="2:23">
      <c r="B127" t="s">
        <v>725</v>
      </c>
      <c r="C127" t="s">
        <v>558</v>
      </c>
      <c r="D127">
        <v>0.08</v>
      </c>
      <c r="E127" t="s">
        <v>710</v>
      </c>
      <c r="H127">
        <v>2019</v>
      </c>
      <c r="I127" t="s">
        <v>733</v>
      </c>
      <c r="K127">
        <v>396839.996337891</v>
      </c>
      <c r="M127" t="str">
        <f t="shared" si="6"/>
        <v>Turkey_d</v>
      </c>
      <c r="N127" t="s">
        <v>254</v>
      </c>
      <c r="O127" s="7">
        <f t="shared" si="8"/>
        <v>-396.839996337891</v>
      </c>
      <c r="P127">
        <v>3</v>
      </c>
      <c r="Q127" t="s">
        <v>422</v>
      </c>
      <c r="S127" t="str">
        <f t="shared" si="7"/>
        <v>Turkey_d</v>
      </c>
      <c r="T127" t="s">
        <v>254</v>
      </c>
      <c r="U127" s="7">
        <f t="shared" si="9"/>
        <v>-264.559997558594</v>
      </c>
      <c r="V127">
        <v>3</v>
      </c>
      <c r="W127" t="s">
        <v>709</v>
      </c>
    </row>
    <row r="128" spans="2:23">
      <c r="B128" t="s">
        <v>724</v>
      </c>
      <c r="C128" t="s">
        <v>558</v>
      </c>
      <c r="D128">
        <v>0.08</v>
      </c>
      <c r="E128" t="s">
        <v>710</v>
      </c>
      <c r="H128">
        <v>2019</v>
      </c>
      <c r="I128" t="s">
        <v>234</v>
      </c>
      <c r="K128">
        <v>72870.002746582</v>
      </c>
      <c r="M128" t="str">
        <f t="shared" si="6"/>
        <v>Turkmenistan</v>
      </c>
      <c r="N128" t="s">
        <v>254</v>
      </c>
      <c r="O128" s="7">
        <f t="shared" si="8"/>
        <v>-72.870002746582</v>
      </c>
      <c r="P128">
        <v>3</v>
      </c>
      <c r="Q128" t="s">
        <v>422</v>
      </c>
      <c r="S128" t="str">
        <f t="shared" si="7"/>
        <v>Turkmenistan</v>
      </c>
      <c r="T128" t="s">
        <v>254</v>
      </c>
      <c r="U128" s="7">
        <f t="shared" si="9"/>
        <v>-48.5800018310547</v>
      </c>
      <c r="V128">
        <v>3</v>
      </c>
      <c r="W128" t="s">
        <v>709</v>
      </c>
    </row>
    <row r="129" spans="2:23">
      <c r="B129" t="s">
        <v>723</v>
      </c>
      <c r="C129" t="s">
        <v>558</v>
      </c>
      <c r="D129">
        <v>0.01</v>
      </c>
      <c r="E129" t="s">
        <v>710</v>
      </c>
      <c r="H129">
        <v>2019</v>
      </c>
      <c r="I129" t="s">
        <v>235</v>
      </c>
      <c r="K129">
        <v>188860.000610352</v>
      </c>
      <c r="M129" t="str">
        <f t="shared" si="6"/>
        <v>UAE</v>
      </c>
      <c r="N129" t="s">
        <v>254</v>
      </c>
      <c r="O129" s="7">
        <f t="shared" si="8"/>
        <v>-188.860000610352</v>
      </c>
      <c r="P129">
        <v>3</v>
      </c>
      <c r="Q129" t="s">
        <v>422</v>
      </c>
      <c r="S129" t="str">
        <f t="shared" si="7"/>
        <v>UAE</v>
      </c>
      <c r="T129" t="s">
        <v>254</v>
      </c>
      <c r="U129" s="7">
        <f t="shared" si="9"/>
        <v>-125.906667073568</v>
      </c>
      <c r="V129">
        <v>3</v>
      </c>
      <c r="W129" t="s">
        <v>709</v>
      </c>
    </row>
    <row r="130" spans="2:23">
      <c r="B130" t="s">
        <v>722</v>
      </c>
      <c r="C130" t="s">
        <v>558</v>
      </c>
      <c r="D130">
        <v>0.05</v>
      </c>
      <c r="E130" t="s">
        <v>710</v>
      </c>
      <c r="H130">
        <v>2019</v>
      </c>
      <c r="I130" t="s">
        <v>39</v>
      </c>
      <c r="K130">
        <v>348920.013427734</v>
      </c>
      <c r="M130" t="str">
        <f t="shared" si="6"/>
        <v>UK</v>
      </c>
      <c r="N130" t="s">
        <v>254</v>
      </c>
      <c r="O130" s="7">
        <f t="shared" si="8"/>
        <v>-348.920013427734</v>
      </c>
      <c r="P130">
        <v>3</v>
      </c>
      <c r="Q130" t="s">
        <v>422</v>
      </c>
      <c r="S130" t="str">
        <f t="shared" si="7"/>
        <v>UK</v>
      </c>
      <c r="T130" t="s">
        <v>254</v>
      </c>
      <c r="U130" s="7">
        <f t="shared" si="9"/>
        <v>-232.613342285156</v>
      </c>
      <c r="V130">
        <v>3</v>
      </c>
      <c r="W130" t="s">
        <v>709</v>
      </c>
    </row>
    <row r="131" spans="2:23">
      <c r="B131" t="s">
        <v>721</v>
      </c>
      <c r="C131" t="s">
        <v>558</v>
      </c>
      <c r="D131">
        <v>0.08</v>
      </c>
      <c r="E131" t="s">
        <v>710</v>
      </c>
      <c r="H131">
        <v>2019</v>
      </c>
      <c r="I131" t="s">
        <v>40</v>
      </c>
      <c r="K131">
        <v>174729.995727539</v>
      </c>
      <c r="M131" t="str">
        <f t="shared" si="6"/>
        <v>Ukraine</v>
      </c>
      <c r="N131" t="s">
        <v>254</v>
      </c>
      <c r="O131" s="7">
        <f t="shared" si="8"/>
        <v>-174.729995727539</v>
      </c>
      <c r="P131">
        <v>3</v>
      </c>
      <c r="Q131" t="s">
        <v>422</v>
      </c>
      <c r="S131" t="str">
        <f t="shared" si="7"/>
        <v>Ukraine</v>
      </c>
      <c r="T131" t="s">
        <v>254</v>
      </c>
      <c r="U131" s="7">
        <f t="shared" si="9"/>
        <v>-116.486663818359</v>
      </c>
      <c r="V131">
        <v>3</v>
      </c>
      <c r="W131" t="s">
        <v>709</v>
      </c>
    </row>
    <row r="132" spans="2:23">
      <c r="B132" t="s">
        <v>720</v>
      </c>
      <c r="C132" t="s">
        <v>558</v>
      </c>
      <c r="D132">
        <v>0.08</v>
      </c>
      <c r="E132" t="s">
        <v>710</v>
      </c>
      <c r="H132">
        <v>2019</v>
      </c>
      <c r="I132" t="s">
        <v>732</v>
      </c>
      <c r="K132">
        <v>174729.995727539</v>
      </c>
      <c r="M132" t="str">
        <f t="shared" ref="M132:M139" si="10">$I132</f>
        <v>Ukraine_d</v>
      </c>
      <c r="N132" t="s">
        <v>254</v>
      </c>
      <c r="O132" s="7">
        <f t="shared" si="8"/>
        <v>-174.729995727539</v>
      </c>
      <c r="P132">
        <v>3</v>
      </c>
      <c r="Q132" t="s">
        <v>422</v>
      </c>
      <c r="S132" t="str">
        <f t="shared" ref="S132:S139" si="11">$I132</f>
        <v>Ukraine_d</v>
      </c>
      <c r="T132" t="s">
        <v>254</v>
      </c>
      <c r="U132" s="7">
        <f t="shared" si="9"/>
        <v>-116.486663818359</v>
      </c>
      <c r="V132">
        <v>3</v>
      </c>
      <c r="W132" t="s">
        <v>709</v>
      </c>
    </row>
    <row r="133" spans="2:23">
      <c r="B133" t="s">
        <v>719</v>
      </c>
      <c r="C133" t="s">
        <v>558</v>
      </c>
      <c r="D133">
        <v>0.08</v>
      </c>
      <c r="E133" t="s">
        <v>710</v>
      </c>
      <c r="H133">
        <v>2019</v>
      </c>
      <c r="I133" t="s">
        <v>236</v>
      </c>
      <c r="K133">
        <v>4817720.21484375</v>
      </c>
      <c r="M133" t="str">
        <f t="shared" si="10"/>
        <v>USA</v>
      </c>
      <c r="N133" t="s">
        <v>254</v>
      </c>
      <c r="O133" s="7">
        <f t="shared" si="8"/>
        <v>-4817.72021484375</v>
      </c>
      <c r="P133">
        <v>3</v>
      </c>
      <c r="Q133" t="s">
        <v>422</v>
      </c>
      <c r="S133" t="str">
        <f t="shared" si="11"/>
        <v>USA</v>
      </c>
      <c r="T133" t="s">
        <v>254</v>
      </c>
      <c r="U133" s="7">
        <f t="shared" si="9"/>
        <v>-3211.8134765625</v>
      </c>
      <c r="V133">
        <v>3</v>
      </c>
      <c r="W133" t="s">
        <v>709</v>
      </c>
    </row>
    <row r="134" spans="2:23">
      <c r="B134" t="s">
        <v>718</v>
      </c>
      <c r="C134" t="s">
        <v>558</v>
      </c>
      <c r="D134">
        <v>0.08</v>
      </c>
      <c r="E134" t="s">
        <v>710</v>
      </c>
      <c r="H134">
        <v>2019</v>
      </c>
      <c r="I134" t="s">
        <v>237</v>
      </c>
      <c r="K134">
        <v>116709.999084473</v>
      </c>
      <c r="M134" t="str">
        <f t="shared" si="10"/>
        <v>Uzbekistan</v>
      </c>
      <c r="N134" t="s">
        <v>254</v>
      </c>
      <c r="O134" s="7">
        <f t="shared" si="8"/>
        <v>-116.709999084473</v>
      </c>
      <c r="P134">
        <v>3</v>
      </c>
      <c r="Q134" t="s">
        <v>422</v>
      </c>
      <c r="S134" t="str">
        <f t="shared" si="11"/>
        <v>Uzbekistan</v>
      </c>
      <c r="T134" t="s">
        <v>254</v>
      </c>
      <c r="U134" s="7">
        <f t="shared" si="9"/>
        <v>-77.8066660563153</v>
      </c>
      <c r="V134">
        <v>3</v>
      </c>
      <c r="W134" t="s">
        <v>709</v>
      </c>
    </row>
    <row r="135" spans="2:23">
      <c r="B135" t="s">
        <v>717</v>
      </c>
      <c r="C135" t="s">
        <v>558</v>
      </c>
      <c r="D135">
        <v>0.01</v>
      </c>
      <c r="E135" t="s">
        <v>710</v>
      </c>
      <c r="H135">
        <v>2019</v>
      </c>
      <c r="I135" t="s">
        <v>238</v>
      </c>
      <c r="K135">
        <v>112339.996337891</v>
      </c>
      <c r="M135" t="str">
        <f t="shared" si="10"/>
        <v>Venezuela</v>
      </c>
      <c r="N135" t="s">
        <v>254</v>
      </c>
      <c r="O135" s="7">
        <f t="shared" si="8"/>
        <v>-112.339996337891</v>
      </c>
      <c r="P135">
        <v>3</v>
      </c>
      <c r="Q135" t="s">
        <v>422</v>
      </c>
      <c r="S135" t="str">
        <f t="shared" si="11"/>
        <v>Venezuela</v>
      </c>
      <c r="T135" t="s">
        <v>254</v>
      </c>
      <c r="U135" s="7">
        <f t="shared" si="9"/>
        <v>-74.8933308919273</v>
      </c>
      <c r="V135">
        <v>3</v>
      </c>
      <c r="W135" t="s">
        <v>709</v>
      </c>
    </row>
    <row r="136" spans="2:23">
      <c r="B136" t="s">
        <v>716</v>
      </c>
      <c r="C136" t="s">
        <v>558</v>
      </c>
      <c r="D136">
        <v>0.08</v>
      </c>
      <c r="E136" t="s">
        <v>710</v>
      </c>
      <c r="H136">
        <v>2019</v>
      </c>
      <c r="I136" t="s">
        <v>239</v>
      </c>
      <c r="K136">
        <v>336489.990234375</v>
      </c>
      <c r="M136" t="str">
        <f t="shared" si="10"/>
        <v>Vietnam</v>
      </c>
      <c r="N136" t="s">
        <v>254</v>
      </c>
      <c r="O136" s="7">
        <f t="shared" si="8"/>
        <v>-336.489990234375</v>
      </c>
      <c r="P136">
        <v>3</v>
      </c>
      <c r="Q136" t="s">
        <v>422</v>
      </c>
      <c r="S136" t="str">
        <f t="shared" si="11"/>
        <v>Vietnam</v>
      </c>
      <c r="T136" t="s">
        <v>254</v>
      </c>
      <c r="U136" s="7">
        <f t="shared" si="9"/>
        <v>-224.32666015625</v>
      </c>
      <c r="V136">
        <v>3</v>
      </c>
      <c r="W136" t="s">
        <v>709</v>
      </c>
    </row>
    <row r="137" spans="2:23">
      <c r="B137" t="s">
        <v>715</v>
      </c>
      <c r="C137" t="s">
        <v>558</v>
      </c>
      <c r="D137">
        <v>0.08</v>
      </c>
      <c r="E137" t="s">
        <v>710</v>
      </c>
      <c r="H137">
        <v>2019</v>
      </c>
      <c r="I137" t="s">
        <v>730</v>
      </c>
      <c r="K137">
        <v>82750.0004768372</v>
      </c>
      <c r="M137" t="str">
        <f t="shared" si="10"/>
        <v>Western_Balkans</v>
      </c>
      <c r="N137" t="s">
        <v>254</v>
      </c>
      <c r="O137" s="7">
        <f t="shared" si="8"/>
        <v>-82.7500004768372</v>
      </c>
      <c r="P137">
        <v>3</v>
      </c>
      <c r="Q137" t="s">
        <v>422</v>
      </c>
      <c r="S137" t="str">
        <f t="shared" si="11"/>
        <v>Western_Balkans</v>
      </c>
      <c r="T137" t="s">
        <v>254</v>
      </c>
      <c r="U137" s="7">
        <f t="shared" si="9"/>
        <v>-55.1666669845581</v>
      </c>
      <c r="V137">
        <v>3</v>
      </c>
      <c r="W137" t="s">
        <v>709</v>
      </c>
    </row>
    <row r="138" spans="2:23">
      <c r="B138" t="s">
        <v>714</v>
      </c>
      <c r="C138" t="s">
        <v>558</v>
      </c>
      <c r="D138">
        <v>0.04</v>
      </c>
      <c r="E138" t="s">
        <v>710</v>
      </c>
      <c r="H138">
        <v>2019</v>
      </c>
      <c r="I138" t="s">
        <v>240</v>
      </c>
      <c r="K138">
        <v>11100.0003814697</v>
      </c>
      <c r="M138" t="str">
        <f t="shared" si="10"/>
        <v>Yemen</v>
      </c>
      <c r="N138" t="s">
        <v>254</v>
      </c>
      <c r="O138" s="7">
        <f t="shared" si="8"/>
        <v>-11.1000003814697</v>
      </c>
      <c r="P138">
        <v>3</v>
      </c>
      <c r="Q138" t="s">
        <v>422</v>
      </c>
      <c r="S138" t="str">
        <f t="shared" si="11"/>
        <v>Yemen</v>
      </c>
      <c r="T138" t="s">
        <v>254</v>
      </c>
      <c r="U138" s="7">
        <f t="shared" si="9"/>
        <v>-7.40000025431313</v>
      </c>
      <c r="V138">
        <v>3</v>
      </c>
      <c r="W138" t="s">
        <v>709</v>
      </c>
    </row>
    <row r="139" spans="2:23">
      <c r="B139" t="s">
        <v>713</v>
      </c>
      <c r="C139" t="s">
        <v>558</v>
      </c>
      <c r="D139">
        <v>0.08</v>
      </c>
      <c r="E139" t="s">
        <v>710</v>
      </c>
      <c r="H139">
        <v>2019</v>
      </c>
      <c r="I139" t="s">
        <v>241</v>
      </c>
      <c r="K139">
        <v>6800.00019073486</v>
      </c>
      <c r="M139" t="str">
        <f t="shared" si="10"/>
        <v>Zambia</v>
      </c>
      <c r="N139" t="s">
        <v>254</v>
      </c>
      <c r="O139" s="7">
        <f t="shared" si="8"/>
        <v>-6.80000019073486</v>
      </c>
      <c r="P139">
        <v>3</v>
      </c>
      <c r="Q139" t="s">
        <v>422</v>
      </c>
      <c r="S139" t="str">
        <f t="shared" si="11"/>
        <v>Zambia</v>
      </c>
      <c r="T139" t="s">
        <v>254</v>
      </c>
      <c r="U139" s="7">
        <f t="shared" si="9"/>
        <v>-4.53333346048991</v>
      </c>
      <c r="V139">
        <v>3</v>
      </c>
      <c r="W139" t="s">
        <v>709</v>
      </c>
    </row>
    <row r="140" spans="2:5">
      <c r="B140" t="s">
        <v>11</v>
      </c>
      <c r="C140" t="s">
        <v>558</v>
      </c>
      <c r="D140">
        <v>0.08</v>
      </c>
      <c r="E140" t="s">
        <v>710</v>
      </c>
    </row>
    <row r="141" spans="2:5">
      <c r="B141" t="s">
        <v>712</v>
      </c>
      <c r="C141" t="s">
        <v>558</v>
      </c>
      <c r="D141">
        <v>0.05</v>
      </c>
      <c r="E141" t="s">
        <v>710</v>
      </c>
    </row>
    <row r="142" spans="2:5">
      <c r="B142" t="s">
        <v>711</v>
      </c>
      <c r="C142" t="s">
        <v>558</v>
      </c>
      <c r="D142">
        <v>0.1</v>
      </c>
      <c r="E142" t="s">
        <v>710</v>
      </c>
    </row>
    <row r="143" spans="2:5">
      <c r="B143" t="s">
        <v>708</v>
      </c>
      <c r="C143" t="s">
        <v>558</v>
      </c>
      <c r="D143">
        <v>0.08</v>
      </c>
      <c r="E143" t="s">
        <v>710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B3:I21"/>
  <sheetViews>
    <sheetView tabSelected="1" zoomScale="66" zoomScaleNormal="66" workbookViewId="0">
      <selection activeCell="H30" sqref="H30"/>
    </sheetView>
  </sheetViews>
  <sheetFormatPr defaultColWidth="9" defaultRowHeight="14.5"/>
  <cols>
    <col min="2" max="2" width="24.4" customWidth="1"/>
    <col min="3" max="3" width="19.8636363636364" customWidth="1"/>
    <col min="4" max="4" width="7.86363636363636" customWidth="1"/>
    <col min="5" max="5" width="8" customWidth="1"/>
    <col min="6" max="6" width="5" customWidth="1"/>
    <col min="7" max="7" width="2" customWidth="1"/>
    <col min="9" max="9" width="67.8181818181818" customWidth="1"/>
  </cols>
  <sheetData>
    <row r="3" spans="2:2">
      <c r="B3" t="s">
        <v>1</v>
      </c>
    </row>
    <row r="6" spans="2:9">
      <c r="B6" t="s">
        <v>4</v>
      </c>
      <c r="C6" t="s">
        <v>5</v>
      </c>
      <c r="D6" t="s">
        <v>77</v>
      </c>
      <c r="E6" t="s">
        <v>6</v>
      </c>
      <c r="F6">
        <v>2020</v>
      </c>
      <c r="G6">
        <v>0</v>
      </c>
      <c r="H6" t="s">
        <v>76</v>
      </c>
      <c r="I6" t="s">
        <v>91</v>
      </c>
    </row>
    <row r="7" s="1" customFormat="1" spans="2:9">
      <c r="B7" s="1" t="s">
        <v>736</v>
      </c>
      <c r="C7" s="1" t="s">
        <v>281</v>
      </c>
      <c r="D7" s="1" t="s">
        <v>737</v>
      </c>
      <c r="E7" s="2">
        <v>10</v>
      </c>
      <c r="F7" s="1">
        <v>0</v>
      </c>
      <c r="G7" s="1">
        <v>3</v>
      </c>
      <c r="I7" s="1" t="s">
        <v>738</v>
      </c>
    </row>
    <row r="8" spans="3:8">
      <c r="C8" s="3" t="s">
        <v>470</v>
      </c>
      <c r="D8" s="4" t="s">
        <v>739</v>
      </c>
      <c r="E8" s="4">
        <v>-60</v>
      </c>
      <c r="F8" s="4"/>
      <c r="G8" s="4"/>
      <c r="H8" s="4" t="s">
        <v>737</v>
      </c>
    </row>
    <row r="9" spans="3:8">
      <c r="C9" s="3" t="s">
        <v>470</v>
      </c>
      <c r="D9" s="4" t="s">
        <v>740</v>
      </c>
      <c r="E9" s="4">
        <v>-180</v>
      </c>
      <c r="F9" s="4"/>
      <c r="G9" s="4"/>
      <c r="H9" s="4" t="s">
        <v>737</v>
      </c>
    </row>
    <row r="10" spans="3:8">
      <c r="C10" t="s">
        <v>112</v>
      </c>
      <c r="D10" t="s">
        <v>741</v>
      </c>
      <c r="E10">
        <v>-600</v>
      </c>
      <c r="H10" t="s">
        <v>737</v>
      </c>
    </row>
    <row r="11" spans="3:8">
      <c r="C11" t="s">
        <v>112</v>
      </c>
      <c r="D11" t="s">
        <v>742</v>
      </c>
      <c r="E11">
        <v>-600</v>
      </c>
      <c r="H11" t="s">
        <v>737</v>
      </c>
    </row>
    <row r="12" s="1" customFormat="1" spans="3:8">
      <c r="C12" s="1" t="s">
        <v>112</v>
      </c>
      <c r="D12" s="1" t="s">
        <v>743</v>
      </c>
      <c r="E12" s="1">
        <v>-14.7692307692308</v>
      </c>
      <c r="H12" s="1" t="s">
        <v>737</v>
      </c>
    </row>
    <row r="13" spans="3:8">
      <c r="C13" t="s">
        <v>112</v>
      </c>
      <c r="D13" t="s">
        <v>744</v>
      </c>
      <c r="E13">
        <v>-16.8421052631579</v>
      </c>
      <c r="H13" t="s">
        <v>737</v>
      </c>
    </row>
    <row r="18" spans="2:9">
      <c r="B18" t="s">
        <v>4</v>
      </c>
      <c r="C18" t="s">
        <v>5</v>
      </c>
      <c r="D18" t="s">
        <v>77</v>
      </c>
      <c r="E18" t="s">
        <v>6</v>
      </c>
      <c r="F18">
        <v>2020</v>
      </c>
      <c r="G18">
        <v>0</v>
      </c>
      <c r="H18" t="s">
        <v>76</v>
      </c>
      <c r="I18" t="s">
        <v>91</v>
      </c>
    </row>
    <row r="19" spans="2:9">
      <c r="B19" t="s">
        <v>745</v>
      </c>
      <c r="C19" t="s">
        <v>746</v>
      </c>
      <c r="D19" t="s">
        <v>737</v>
      </c>
      <c r="E19">
        <v>1</v>
      </c>
      <c r="F19">
        <v>0</v>
      </c>
      <c r="G19">
        <v>3</v>
      </c>
      <c r="I19" t="s">
        <v>747</v>
      </c>
    </row>
    <row r="20" spans="3:8">
      <c r="C20" t="s">
        <v>112</v>
      </c>
      <c r="D20" t="s">
        <v>739</v>
      </c>
      <c r="E20">
        <v>-60</v>
      </c>
      <c r="H20" t="s">
        <v>737</v>
      </c>
    </row>
    <row r="21" spans="3:8">
      <c r="C21" t="s">
        <v>112</v>
      </c>
      <c r="D21" t="s">
        <v>740</v>
      </c>
      <c r="E21">
        <v>-180</v>
      </c>
      <c r="H21" t="s">
        <v>737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KanORS</Company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temp elec alignment</vt:lpstr>
      <vt:lpstr>INS</vt:lpstr>
      <vt:lpstr>HH2</vt:lpstr>
      <vt:lpstr>Transport</vt:lpstr>
      <vt:lpstr>pg techs</vt:lpstr>
      <vt:lpstr>Trade costs</vt:lpstr>
      <vt:lpstr>Cap decay limits</vt:lpstr>
      <vt:lpstr>demelast and reporting</vt:lpstr>
      <vt:lpstr>Thermal elec utilization</vt:lpstr>
      <vt:lpstr>Thermal elec op costs</vt:lpstr>
      <vt:lpstr>emissions</vt:lpstr>
      <vt:lpstr>CO2 transp and sto</vt:lpstr>
      <vt:lpstr>car batteries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李潇</cp:lastModifiedBy>
  <dcterms:created xsi:type="dcterms:W3CDTF">2009-05-27T15:40:00Z</dcterms:created>
  <dcterms:modified xsi:type="dcterms:W3CDTF">2026-04-18T18:24:01Z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719005778182144</vt:r8>
  </property>
  <property fmtid="{D5CDD505-2E9C-101B-9397-08002B2CF9AE}" pid="3" name="{A44787D4-0540-4523-9961-78E4036D8C6D}">
    <vt:lpwstr>{C5BFA0EE-865B-4DB5-A9A9-320E07621DC8}</vt:lpwstr>
  </property>
  <property fmtid="{D5CDD505-2E9C-101B-9397-08002B2CF9AE}" pid="4" name="ICV">
    <vt:lpwstr>E34D16D1FAA0403A82D5146E5E24AD7B_12</vt:lpwstr>
  </property>
  <property fmtid="{D5CDD505-2E9C-101B-9397-08002B2CF9AE}" pid="5" name="KSOProductBuildVer">
    <vt:lpwstr>1033-12.2.0.23196</vt:lpwstr>
  </property>
</Properties>
</file>