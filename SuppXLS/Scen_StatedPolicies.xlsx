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<sst xmlns="http://schemas.openxmlformats.org/spreadsheetml/2006/main" count="74539" uniqueCount="4450">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</sst>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2020</v>
      </c>
      <c r="M9" s="11" t="s">
        <v>4400</v>
      </c>
      <c r="N9" s="11">
        <v>1</v>
      </c>
      <c r="O9" s="24">
        <f>AC9</f>
        <v>16422</v>
      </c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f>8304+8104+14</f>
        <v>16422</v>
      </c>
      <c r="AA9" s="26">
        <f t="shared" ref="AA9:AE9" si="0">Y9</f>
        <v>16422</v>
      </c>
      <c r="AB9" s="26"/>
      <c r="AC9" s="26">
        <f t="shared" si="0"/>
        <v>16422</v>
      </c>
      <c r="AD9" s="26"/>
      <c r="AE9" s="26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s="11">
        <f t="shared" ref="L10:L15" si="2">R10</f>
        <v>2024</v>
      </c>
      <c r="M10" s="11" t="s">
        <v>4400</v>
      </c>
      <c r="N10" s="11">
        <v>1</v>
      </c>
      <c r="O10" s="24">
        <f t="shared" ref="O10:O15" si="3">AC10</f>
        <v>16422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4">S10/S9*AA9</f>
        <v>16422</v>
      </c>
      <c r="AB10" s="26"/>
      <c r="AC10" s="27">
        <f t="shared" si="4"/>
        <v>16422</v>
      </c>
      <c r="AD10" s="26"/>
      <c r="AE10" s="27">
        <f t="shared" si="4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si="2"/>
        <v>2035</v>
      </c>
      <c r="M11" s="11" t="s">
        <v>4400</v>
      </c>
      <c r="N11" s="11">
        <v>1</v>
      </c>
      <c r="O11" s="24">
        <f t="shared" si="3"/>
        <v>15168.4251282528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5">S11/S10*AA10</f>
        <v>16677.0638984073</v>
      </c>
      <c r="AB11" s="26"/>
      <c r="AC11" s="27">
        <f t="shared" si="5"/>
        <v>15168.4251282528</v>
      </c>
      <c r="AD11" s="26"/>
      <c r="AE11" s="27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2"/>
        <v>2040</v>
      </c>
      <c r="M12" s="11" t="s">
        <v>4400</v>
      </c>
      <c r="N12" s="11">
        <v>1</v>
      </c>
      <c r="O12" s="24">
        <f t="shared" si="3"/>
        <v>14028.932386798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6">S12/S11*AA11</f>
        <v>16516.6114897448</v>
      </c>
      <c r="AB12" s="26"/>
      <c r="AC12" s="27">
        <f t="shared" si="6"/>
        <v>14028.932386798</v>
      </c>
      <c r="AD12" s="26"/>
      <c r="AE12" s="27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2"/>
        <v>2050</v>
      </c>
      <c r="M13" s="11" t="s">
        <v>4400</v>
      </c>
      <c r="N13" s="11">
        <v>1</v>
      </c>
      <c r="O13" s="24">
        <f t="shared" si="3"/>
        <v>12600.0222324098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7">S13/S12*AA12</f>
        <v>16333.2302000081</v>
      </c>
      <c r="AB13" s="26"/>
      <c r="AC13" s="27">
        <f t="shared" si="7"/>
        <v>12600.0222324098</v>
      </c>
      <c r="AD13" s="26"/>
      <c r="AE13" s="27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2"/>
        <v>2100</v>
      </c>
      <c r="M14" s="11" t="s">
        <v>4400</v>
      </c>
      <c r="N14" s="11">
        <v>1</v>
      </c>
      <c r="O14" s="24">
        <f t="shared" si="3"/>
        <v>12600.0222324098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8">S14/S13*AA13</f>
        <v>16333.2302000081</v>
      </c>
      <c r="AB14" s="27"/>
      <c r="AC14" s="27">
        <f t="shared" si="8"/>
        <v>12600.0222324098</v>
      </c>
      <c r="AD14" s="26"/>
      <c r="AE14" s="27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2"/>
        <v>0</v>
      </c>
      <c r="M15" s="11" t="s">
        <v>4400</v>
      </c>
      <c r="N15" s="11">
        <v>1</v>
      </c>
      <c r="O15" s="24">
        <f t="shared" si="3"/>
        <v>5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tabSelected="1" zoomScale="62" zoomScaleNormal="62" topLeftCell="M3" workbookViewId="0">
      <selection activeCell="AS28" sqref="AS2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4401</v>
      </c>
      <c r="F3" s="14"/>
      <c r="G3" s="14"/>
      <c r="H3" s="14"/>
      <c r="I3" s="14" t="s">
        <v>4402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4403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4404</v>
      </c>
      <c r="AT5" s="11" t="s">
        <v>4395</v>
      </c>
      <c r="AU5" t="s">
        <v>4</v>
      </c>
      <c r="AV5" t="s">
        <v>4405</v>
      </c>
      <c r="AW5" s="11" t="s">
        <v>5</v>
      </c>
      <c r="AX5" s="11" t="s">
        <v>4396</v>
      </c>
      <c r="AY5" t="s">
        <v>4406</v>
      </c>
    </row>
    <row r="6" spans="2:51">
      <c r="B6" s="14" t="s">
        <v>4407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4404</v>
      </c>
      <c r="AA6" s="11" t="s">
        <v>4395</v>
      </c>
      <c r="AB6" t="s">
        <v>4</v>
      </c>
      <c r="AC6" t="s">
        <v>4405</v>
      </c>
      <c r="AD6" s="11" t="s">
        <v>5</v>
      </c>
      <c r="AE6" s="11" t="s">
        <v>4396</v>
      </c>
      <c r="AN6" t="s">
        <v>4408</v>
      </c>
      <c r="AQ6" s="11"/>
      <c r="AR6" s="11"/>
      <c r="AS6" s="11" t="s">
        <v>4409</v>
      </c>
      <c r="AT6" s="11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4408</v>
      </c>
      <c r="W7" t="s">
        <v>4412</v>
      </c>
      <c r="X7" s="11"/>
      <c r="Y7" s="11"/>
      <c r="Z7" s="11" t="s">
        <v>4409</v>
      </c>
      <c r="AA7" s="11" t="s">
        <v>4413</v>
      </c>
      <c r="AB7">
        <v>2020</v>
      </c>
      <c r="AC7">
        <f>AC9</f>
        <v>0.04</v>
      </c>
      <c r="AD7">
        <v>0</v>
      </c>
      <c r="AE7" t="s">
        <v>4411</v>
      </c>
      <c r="AS7" s="11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4412</v>
      </c>
      <c r="Z8" s="11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11"/>
      <c r="AR8" s="11"/>
      <c r="AS8" s="11" t="s">
        <v>4409</v>
      </c>
      <c r="AT8" s="11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4412</v>
      </c>
      <c r="X9" s="11"/>
      <c r="Y9" s="11"/>
      <c r="Z9" s="11" t="s">
        <v>4409</v>
      </c>
      <c r="AA9" s="11" t="s">
        <v>4413</v>
      </c>
      <c r="AB9">
        <v>2024</v>
      </c>
      <c r="AC9">
        <f>E7</f>
        <v>0.04</v>
      </c>
      <c r="AD9">
        <v>0</v>
      </c>
      <c r="AE9" t="s">
        <v>4411</v>
      </c>
      <c r="AS9" s="11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4412</v>
      </c>
      <c r="Z10" s="11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11"/>
      <c r="AR10" s="11"/>
      <c r="AS10" s="11" t="s">
        <v>4409</v>
      </c>
      <c r="AT10" s="11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14" t="s">
        <v>4403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4412</v>
      </c>
      <c r="X11" s="11"/>
      <c r="Y11" s="11"/>
      <c r="Z11" s="11" t="s">
        <v>4409</v>
      </c>
      <c r="AA11" s="11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11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14" t="s">
        <v>4415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4412</v>
      </c>
      <c r="Z12" s="11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11"/>
      <c r="AR12" s="11"/>
      <c r="AS12" s="11" t="s">
        <v>4409</v>
      </c>
      <c r="AT12" s="11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4412</v>
      </c>
      <c r="X13" s="11"/>
      <c r="Y13" s="11"/>
      <c r="Z13" s="11" t="s">
        <v>4409</v>
      </c>
      <c r="AA13" s="11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11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4412</v>
      </c>
      <c r="Z14" s="11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11"/>
      <c r="AR14" s="11"/>
      <c r="AS14" s="11" t="s">
        <v>4409</v>
      </c>
      <c r="AT14" s="11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4412</v>
      </c>
      <c r="X15" s="11"/>
      <c r="Y15" s="11"/>
      <c r="Z15" s="11" t="s">
        <v>4409</v>
      </c>
      <c r="AA15" s="11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11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4412</v>
      </c>
      <c r="Z16" s="11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11"/>
      <c r="AR16" s="11"/>
      <c r="AS16" s="11" t="s">
        <v>4409</v>
      </c>
      <c r="AT16" s="11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4412</v>
      </c>
      <c r="X17" s="11"/>
      <c r="Y17" s="11"/>
      <c r="Z17" s="11" t="s">
        <v>4409</v>
      </c>
      <c r="AA17" s="11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11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14" t="s">
        <v>4403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4412</v>
      </c>
      <c r="Z18" s="11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11"/>
      <c r="AR18" s="11"/>
      <c r="AS18" s="11" t="s">
        <v>4409</v>
      </c>
      <c r="AT18" s="11" t="s">
        <v>4410</v>
      </c>
      <c r="AU18">
        <v>0</v>
      </c>
      <c r="AW18">
        <v>3</v>
      </c>
      <c r="AX18" t="s">
        <v>4411</v>
      </c>
    </row>
    <row r="19" spans="2:51">
      <c r="B19" s="14" t="s">
        <v>4415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4416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4404</v>
      </c>
      <c r="AT30" s="11" t="s">
        <v>4395</v>
      </c>
      <c r="AU30" t="s">
        <v>4</v>
      </c>
      <c r="AV30" t="s">
        <v>4405</v>
      </c>
      <c r="AW30" s="11" t="s">
        <v>5</v>
      </c>
      <c r="AX30" s="11" t="s">
        <v>4396</v>
      </c>
      <c r="AY30" t="s">
        <v>4406</v>
      </c>
    </row>
    <row r="31" spans="2:51">
      <c r="H31" s="20"/>
      <c r="W31" s="11"/>
      <c r="AN31" t="s">
        <v>4408</v>
      </c>
      <c r="AQ31" s="11"/>
      <c r="AR31" s="11"/>
      <c r="AS31" s="11" t="s">
        <v>4409</v>
      </c>
      <c r="AT31" s="11" t="s">
        <v>4417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4404</v>
      </c>
      <c r="AA32" s="11" t="s">
        <v>4395</v>
      </c>
      <c r="AB32" t="s">
        <v>4</v>
      </c>
      <c r="AC32" t="s">
        <v>4405</v>
      </c>
      <c r="AD32" s="11" t="s">
        <v>5</v>
      </c>
      <c r="AE32" s="11" t="s">
        <v>4396</v>
      </c>
      <c r="AS32" s="11" t="s">
        <v>4409</v>
      </c>
      <c r="AT32" t="s">
        <v>4418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11"/>
      <c r="Y33" s="11"/>
      <c r="Z33" s="11" t="s">
        <v>4409</v>
      </c>
      <c r="AA33" s="11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11"/>
      <c r="AR33" s="11"/>
      <c r="AS33" s="11" t="s">
        <v>4409</v>
      </c>
      <c r="AT33" s="11" t="s">
        <v>4417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11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11" t="s">
        <v>4409</v>
      </c>
      <c r="AT34" t="s">
        <v>4418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11"/>
      <c r="Y35" s="11"/>
      <c r="Z35" s="11" t="s">
        <v>4409</v>
      </c>
      <c r="AA35" s="11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11"/>
      <c r="AR35" s="11"/>
      <c r="AS35" s="11" t="s">
        <v>4409</v>
      </c>
      <c r="AT35" s="11" t="s">
        <v>4417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11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11" t="s">
        <v>4409</v>
      </c>
      <c r="AT36" t="s">
        <v>4418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11"/>
      <c r="Y37" s="11"/>
      <c r="Z37" s="11" t="s">
        <v>4409</v>
      </c>
      <c r="AA37" s="11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11"/>
      <c r="AR37" s="11"/>
      <c r="AS37" s="11" t="s">
        <v>4409</v>
      </c>
      <c r="AT37" s="11" t="s">
        <v>4417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4412</v>
      </c>
      <c r="Z38" s="11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11" t="s">
        <v>4409</v>
      </c>
      <c r="AT38" t="s">
        <v>4418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4412</v>
      </c>
      <c r="X39" s="11"/>
      <c r="Y39" s="11"/>
      <c r="Z39" s="11" t="s">
        <v>4409</v>
      </c>
      <c r="AA39" s="11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11"/>
      <c r="AR39" s="11"/>
      <c r="AS39" s="11" t="s">
        <v>4409</v>
      </c>
      <c r="AT39" s="11" t="s">
        <v>4417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11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11" t="s">
        <v>4409</v>
      </c>
      <c r="AT40" t="s">
        <v>4418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11"/>
      <c r="W41" t="s">
        <v>4412</v>
      </c>
      <c r="X41" s="11"/>
      <c r="Y41" s="11"/>
      <c r="Z41" s="11" t="s">
        <v>4409</v>
      </c>
      <c r="AA41" s="11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11"/>
      <c r="AR41" s="11"/>
      <c r="AS41" s="11" t="s">
        <v>4409</v>
      </c>
      <c r="AT41" s="11" t="s">
        <v>4417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11"/>
      <c r="W42" t="s">
        <v>4412</v>
      </c>
      <c r="Z42" s="11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11" t="s">
        <v>4409</v>
      </c>
      <c r="AT42" t="s">
        <v>4418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11"/>
      <c r="W43" t="s">
        <v>4412</v>
      </c>
      <c r="X43" s="11"/>
      <c r="Y43" s="11"/>
      <c r="Z43" s="11" t="s">
        <v>4409</v>
      </c>
      <c r="AA43" s="11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11"/>
      <c r="AR43" s="11"/>
      <c r="AS43" s="11" t="s">
        <v>4409</v>
      </c>
      <c r="AT43" s="11" t="s">
        <v>4417</v>
      </c>
      <c r="AU43">
        <v>0</v>
      </c>
      <c r="AW43">
        <v>3</v>
      </c>
      <c r="AX43" t="s">
        <v>4411</v>
      </c>
    </row>
    <row r="44" spans="2:51">
      <c r="B44" s="11"/>
      <c r="W44" t="s">
        <v>4412</v>
      </c>
      <c r="Z44" s="11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11" t="s">
        <v>4409</v>
      </c>
      <c r="AT44" t="s">
        <v>4418</v>
      </c>
      <c r="AU44">
        <v>0</v>
      </c>
      <c r="AW44">
        <v>3</v>
      </c>
      <c r="AX44" t="s">
        <v>4411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4419</v>
      </c>
      <c r="AW48" s="17"/>
      <c r="AX48" s="17"/>
      <c r="AY48" s="17"/>
    </row>
    <row r="49" spans="2:13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</row>
    <row r="50" spans="2:13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4405</v>
      </c>
      <c r="L50" s="11" t="s">
        <v>5</v>
      </c>
      <c r="M50" s="11"/>
    </row>
    <row r="51" spans="2:13">
      <c r="B51" t="s">
        <v>4420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</row>
    <row r="52" spans="2:13">
      <c r="B52" s="11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</row>
    <row r="53" spans="2:13">
      <c r="B53" s="11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</row>
    <row r="54" spans="2:13">
      <c r="B54" s="11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</row>
    <row r="55" spans="2:13">
      <c r="B55" s="11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</row>
    <row r="56" spans="2:13">
      <c r="B56" s="11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</row>
    <row r="57" spans="2:13">
      <c r="B57" s="11"/>
      <c r="G57" t="s">
        <v>4414</v>
      </c>
      <c r="I57">
        <v>0</v>
      </c>
      <c r="J57" t="s">
        <v>4400</v>
      </c>
      <c r="K57">
        <v>1</v>
      </c>
      <c r="L57">
        <v>5</v>
      </c>
    </row>
    <row r="61" spans="2:13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4421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4416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4404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4422</v>
      </c>
      <c r="H7" s="11"/>
      <c r="I7" s="11"/>
      <c r="J7" s="11" t="s">
        <v>4409</v>
      </c>
      <c r="K7" s="11" t="s">
        <v>4423</v>
      </c>
      <c r="L7">
        <v>2020</v>
      </c>
      <c r="M7">
        <v>1</v>
      </c>
      <c r="N7">
        <v>0</v>
      </c>
      <c r="O7" t="s">
        <v>4424</v>
      </c>
    </row>
    <row r="8" spans="3:15">
      <c r="L8">
        <v>0</v>
      </c>
      <c r="N8">
        <v>3</v>
      </c>
      <c r="O8" t="s">
        <v>4424</v>
      </c>
    </row>
    <row r="9" spans="3:15">
      <c r="E9" t="s">
        <v>4425</v>
      </c>
      <c r="H9" s="11"/>
      <c r="I9" s="11"/>
      <c r="J9" s="11" t="s">
        <v>4409</v>
      </c>
      <c r="K9" s="11" t="s">
        <v>4426</v>
      </c>
      <c r="L9">
        <v>2020</v>
      </c>
      <c r="M9">
        <v>1</v>
      </c>
      <c r="N9">
        <v>0</v>
      </c>
      <c r="O9" t="s">
        <v>4424</v>
      </c>
    </row>
    <row r="10" spans="3:15">
      <c r="L10">
        <v>0</v>
      </c>
      <c r="N10">
        <v>3</v>
      </c>
      <c r="O10" t="s">
        <v>4424</v>
      </c>
    </row>
    <row r="11" spans="3:15">
      <c r="E11" t="s">
        <v>4427</v>
      </c>
      <c r="H11" s="11"/>
      <c r="I11" s="11"/>
      <c r="J11" s="11" t="s">
        <v>4409</v>
      </c>
      <c r="K11" s="11" t="s">
        <v>4428</v>
      </c>
      <c r="L11">
        <v>2020</v>
      </c>
      <c r="M11">
        <v>1</v>
      </c>
      <c r="N11">
        <v>0</v>
      </c>
      <c r="O11" t="s">
        <v>4424</v>
      </c>
    </row>
    <row r="12" spans="3:15">
      <c r="L12">
        <v>0</v>
      </c>
      <c r="N12">
        <v>3</v>
      </c>
      <c r="O12" t="s">
        <v>4424</v>
      </c>
    </row>
    <row r="13" spans="3:15">
      <c r="E13" t="s">
        <v>4429</v>
      </c>
      <c r="H13" s="11"/>
      <c r="I13" s="11"/>
      <c r="J13" s="11" t="s">
        <v>4409</v>
      </c>
      <c r="K13" s="11" t="s">
        <v>4430</v>
      </c>
      <c r="L13">
        <v>2020</v>
      </c>
      <c r="M13">
        <v>1</v>
      </c>
      <c r="N13">
        <v>0</v>
      </c>
      <c r="O13" t="s">
        <v>4424</v>
      </c>
    </row>
    <row r="14" spans="3:15">
      <c r="L14">
        <v>0</v>
      </c>
      <c r="N14">
        <v>3</v>
      </c>
      <c r="O14" t="s">
        <v>4424</v>
      </c>
    </row>
    <row r="15" spans="3:15">
      <c r="E15" t="s">
        <v>4431</v>
      </c>
      <c r="H15" s="11"/>
      <c r="I15" s="11"/>
      <c r="J15" s="11" t="s">
        <v>4409</v>
      </c>
      <c r="K15" s="11" t="s">
        <v>4432</v>
      </c>
      <c r="L15">
        <v>2020</v>
      </c>
      <c r="M15">
        <v>1</v>
      </c>
      <c r="N15">
        <v>0</v>
      </c>
      <c r="O15" t="s">
        <v>4424</v>
      </c>
    </row>
    <row r="16" spans="3:15">
      <c r="L16">
        <v>0</v>
      </c>
      <c r="N16">
        <v>3</v>
      </c>
      <c r="O16" t="s">
        <v>4424</v>
      </c>
    </row>
    <row r="17" spans="5:15">
      <c r="E17" t="s">
        <v>4433</v>
      </c>
      <c r="H17" s="11"/>
      <c r="I17" s="11"/>
      <c r="J17" s="11" t="s">
        <v>4409</v>
      </c>
      <c r="K17" s="11" t="s">
        <v>4418</v>
      </c>
      <c r="L17">
        <v>2020</v>
      </c>
      <c r="M17">
        <v>1</v>
      </c>
      <c r="N17">
        <v>0</v>
      </c>
      <c r="O17" t="s">
        <v>4424</v>
      </c>
    </row>
    <row r="18" spans="5:15">
      <c r="L18">
        <v>0</v>
      </c>
      <c r="N18">
        <v>3</v>
      </c>
      <c r="O18" t="s">
        <v>4424</v>
      </c>
    </row>
    <row r="19" spans="5:15">
      <c r="E19" t="s">
        <v>4434</v>
      </c>
      <c r="H19" s="11"/>
      <c r="I19" s="11"/>
      <c r="J19" s="11" t="s">
        <v>4409</v>
      </c>
      <c r="K19" s="11" t="s">
        <v>4435</v>
      </c>
      <c r="L19">
        <v>2020</v>
      </c>
      <c r="M19">
        <v>1</v>
      </c>
      <c r="N19">
        <v>0</v>
      </c>
      <c r="O19" t="s">
        <v>4424</v>
      </c>
    </row>
    <row r="20" spans="5:15">
      <c r="L20">
        <v>0</v>
      </c>
      <c r="N20">
        <v>3</v>
      </c>
      <c r="O20" t="s">
        <v>4424</v>
      </c>
    </row>
    <row r="21" spans="5:15">
      <c r="E21" t="s">
        <v>4436</v>
      </c>
      <c r="H21" s="11"/>
      <c r="I21" s="11"/>
      <c r="J21" s="11" t="s">
        <v>4409</v>
      </c>
      <c r="K21" s="11" t="s">
        <v>4437</v>
      </c>
      <c r="L21">
        <v>2020</v>
      </c>
      <c r="M21">
        <v>1</v>
      </c>
      <c r="N21">
        <v>0</v>
      </c>
      <c r="O21" t="s">
        <v>4424</v>
      </c>
    </row>
    <row r="22" spans="5:15">
      <c r="L22">
        <v>0</v>
      </c>
      <c r="N22">
        <v>3</v>
      </c>
      <c r="O22" t="s">
        <v>4424</v>
      </c>
    </row>
    <row r="23" spans="5:15">
      <c r="E23" t="s">
        <v>4438</v>
      </c>
      <c r="H23" s="11"/>
      <c r="I23" s="11"/>
      <c r="J23" s="11" t="s">
        <v>4409</v>
      </c>
      <c r="K23" s="11" t="s">
        <v>4439</v>
      </c>
      <c r="L23">
        <v>2020</v>
      </c>
      <c r="M23">
        <v>1</v>
      </c>
      <c r="N23">
        <v>0</v>
      </c>
      <c r="O23" t="s">
        <v>4424</v>
      </c>
    </row>
    <row r="24" spans="5:15">
      <c r="L24">
        <v>0</v>
      </c>
      <c r="N24">
        <v>3</v>
      </c>
      <c r="O24" t="s">
        <v>4424</v>
      </c>
    </row>
    <row r="25" spans="5:15">
      <c r="E25" t="s">
        <v>4440</v>
      </c>
      <c r="H25" s="11"/>
      <c r="I25" s="11"/>
      <c r="J25" s="11" t="s">
        <v>4409</v>
      </c>
      <c r="K25" s="11" t="s">
        <v>4441</v>
      </c>
      <c r="L25">
        <v>2020</v>
      </c>
      <c r="M25">
        <v>1</v>
      </c>
      <c r="N25">
        <v>0</v>
      </c>
      <c r="O25" t="s">
        <v>4424</v>
      </c>
    </row>
    <row r="26" spans="5:15">
      <c r="L26">
        <v>0</v>
      </c>
      <c r="N26">
        <v>3</v>
      </c>
      <c r="O26" t="s">
        <v>4424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2:S33"/>
  <sheetViews>
    <sheetView zoomScale="82" zoomScaleNormal="82" workbookViewId="0">
      <selection activeCell="Q4" sqref="Q4:Q11"/>
    </sheetView>
  </sheetViews>
  <sheetFormatPr defaultColWidth="8.72727272727273" defaultRowHeight="14.5"/>
  <sheetData>
    <row r="2" spans="14:19">
      <c r="O2" t="s">
        <v>4442</v>
      </c>
    </row>
    <row r="3" spans="14:19">
      <c r="N3" t="s">
        <v>4</v>
      </c>
      <c r="O3" t="s">
        <v>4443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4403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4403</v>
      </c>
    </row>
    <row r="6" spans="14:19">
      <c r="N6">
        <v>2050</v>
      </c>
      <c r="O6" t="s">
        <v>4444</v>
      </c>
      <c r="P6" t="str">
        <f>"*"&amp;ROUND(S22/P22,3)</f>
        <v>*1.714</v>
      </c>
      <c r="Q6" s="2" t="s">
        <v>4403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4403</v>
      </c>
    </row>
    <row r="8" spans="14:19">
      <c r="N8">
        <v>2035</v>
      </c>
      <c r="O8" t="s">
        <v>4445</v>
      </c>
      <c r="P8" t="str">
        <f>"*"&amp;ROUND(Q33/P33,3)</f>
        <v>*1.182</v>
      </c>
      <c r="Q8" s="2" t="s">
        <v>4403</v>
      </c>
    </row>
    <row r="9" spans="14:19">
      <c r="N9">
        <v>2040</v>
      </c>
      <c r="O9" t="s">
        <v>4445</v>
      </c>
      <c r="P9" t="str">
        <f>"*"&amp;ROUND(R33/P33,3)</f>
        <v>*1.182</v>
      </c>
      <c r="Q9" s="2" t="s">
        <v>4403</v>
      </c>
    </row>
    <row r="10" spans="14:19">
      <c r="N10">
        <v>2050</v>
      </c>
      <c r="O10" t="s">
        <v>4445</v>
      </c>
      <c r="P10" t="str">
        <f>"*"&amp;ROUND(S33/P33,3)</f>
        <v>*1.273</v>
      </c>
      <c r="Q10" s="2" t="s">
        <v>4403</v>
      </c>
    </row>
    <row r="11" spans="14:19">
      <c r="N11">
        <v>2100</v>
      </c>
      <c r="O11" t="s">
        <v>4445</v>
      </c>
      <c r="P11" t="str">
        <f>P10</f>
        <v>*1.273</v>
      </c>
      <c r="Q11" s="2" t="s">
        <v>4403</v>
      </c>
    </row>
    <row r="16" spans="14:19">
      <c r="N16" s="3" t="s">
        <v>4446</v>
      </c>
      <c r="O16" s="3"/>
      <c r="P16" s="4"/>
      <c r="Q16" s="4"/>
      <c r="R16" s="3"/>
      <c r="S16" s="3"/>
    </row>
    <row r="17" spans="14:19">
      <c r="N17" s="3" t="s">
        <v>4447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4448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4449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4448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2026-04-29T21:22:55Z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